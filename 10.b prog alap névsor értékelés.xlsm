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:\2025-2026\10.b Programozás alapok\"/>
    </mc:Choice>
  </mc:AlternateContent>
  <xr:revisionPtr revIDLastSave="0" documentId="13_ncr:1_{3571810D-388C-46D0-A723-EE71CF59A3E8}" xr6:coauthVersionLast="47" xr6:coauthVersionMax="47" xr10:uidLastSave="{00000000-0000-0000-0000-000000000000}"/>
  <bookViews>
    <workbookView xWindow="-28920" yWindow="-120" windowWidth="29040" windowHeight="15720" firstSheet="2" activeTab="9" xr2:uid="{00000000-000D-0000-FFFF-FFFF00000000}"/>
  </bookViews>
  <sheets>
    <sheet name="Névsor" sheetId="1" r:id="rId1"/>
    <sheet name="Doga 1 elágazások" sheetId="4" r:id="rId2"/>
    <sheet name="Doga 2 ciklusok" sheetId="5" r:id="rId3"/>
    <sheet name="Doga 2 pot" sheetId="6" r:id="rId4"/>
    <sheet name="Doga 3" sheetId="8" r:id="rId5"/>
    <sheet name="doga4" sheetId="9" r:id="rId6"/>
    <sheet name="doga5" sheetId="10" r:id="rId7"/>
    <sheet name="doga5pót" sheetId="11" r:id="rId8"/>
    <sheet name="doga6" sheetId="12" r:id="rId9"/>
    <sheet name="doga6.1" sheetId="13" r:id="rId10"/>
    <sheet name="304" sheetId="2" r:id="rId11"/>
    <sheet name="305" sheetId="3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7" i="13" l="1"/>
  <c r="H6" i="13"/>
  <c r="H5" i="13"/>
  <c r="H4" i="13"/>
  <c r="H3" i="13"/>
  <c r="H2" i="13"/>
  <c r="I16" i="12"/>
  <c r="K5" i="12"/>
  <c r="I2" i="12"/>
  <c r="I4" i="12"/>
  <c r="I5" i="12"/>
  <c r="I6" i="12"/>
  <c r="I7" i="12"/>
  <c r="I8" i="12"/>
  <c r="I9" i="12"/>
  <c r="I10" i="12"/>
  <c r="I11" i="12"/>
  <c r="I12" i="12"/>
  <c r="I13" i="12"/>
  <c r="I14" i="12"/>
  <c r="I15" i="12"/>
  <c r="I17" i="12"/>
  <c r="I18" i="12"/>
  <c r="I19" i="12"/>
  <c r="I20" i="12"/>
  <c r="I3" i="12"/>
  <c r="H8" i="11"/>
  <c r="H7" i="11"/>
  <c r="H6" i="11"/>
  <c r="H5" i="11"/>
  <c r="H4" i="11"/>
  <c r="H3" i="11"/>
  <c r="H2" i="11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J19" i="10" s="1"/>
  <c r="K19" i="10" s="1"/>
  <c r="I20" i="10"/>
  <c r="I3" i="10"/>
  <c r="I2" i="10"/>
  <c r="K21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" i="9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5" i="8"/>
  <c r="G4" i="8"/>
  <c r="G3" i="8"/>
  <c r="G2" i="8"/>
  <c r="L26" i="6"/>
  <c r="M26" i="6"/>
  <c r="N26" i="6" s="1"/>
  <c r="L27" i="6"/>
  <c r="M27" i="6" s="1"/>
  <c r="N27" i="6" s="1"/>
  <c r="L28" i="6"/>
  <c r="M28" i="6" s="1"/>
  <c r="N28" i="6" s="1"/>
  <c r="L25" i="6"/>
  <c r="M25" i="6" s="1"/>
  <c r="N25" i="6" s="1"/>
  <c r="L24" i="6"/>
  <c r="L19" i="6"/>
  <c r="L17" i="6"/>
  <c r="L16" i="6"/>
  <c r="M16" i="6" s="1"/>
  <c r="N16" i="6" s="1"/>
  <c r="L15" i="6"/>
  <c r="L14" i="6"/>
  <c r="L13" i="6"/>
  <c r="L11" i="6"/>
  <c r="M11" i="6" s="1"/>
  <c r="N11" i="6" s="1"/>
  <c r="L10" i="6"/>
  <c r="L9" i="6"/>
  <c r="L8" i="6"/>
  <c r="L7" i="6"/>
  <c r="M7" i="6" s="1"/>
  <c r="N7" i="6" s="1"/>
  <c r="L5" i="6"/>
  <c r="L4" i="6"/>
  <c r="L3" i="6"/>
  <c r="L2" i="6"/>
  <c r="L3" i="5"/>
  <c r="L4" i="5"/>
  <c r="L5" i="5"/>
  <c r="L7" i="5"/>
  <c r="L8" i="5"/>
  <c r="L9" i="5"/>
  <c r="L10" i="5"/>
  <c r="L11" i="5"/>
  <c r="L13" i="5"/>
  <c r="L14" i="5"/>
  <c r="L15" i="5"/>
  <c r="L16" i="5"/>
  <c r="L17" i="5"/>
  <c r="L19" i="5"/>
  <c r="L2" i="5"/>
  <c r="H3" i="4"/>
  <c r="I3" i="4" s="1"/>
  <c r="J3" i="4" s="1"/>
  <c r="H4" i="4"/>
  <c r="I4" i="4" s="1"/>
  <c r="J4" i="4" s="1"/>
  <c r="H5" i="4"/>
  <c r="I5" i="4" s="1"/>
  <c r="J5" i="4" s="1"/>
  <c r="H6" i="4"/>
  <c r="I6" i="4" s="1"/>
  <c r="J6" i="4" s="1"/>
  <c r="H7" i="4"/>
  <c r="I7" i="4" s="1"/>
  <c r="J7" i="4" s="1"/>
  <c r="H8" i="4"/>
  <c r="I8" i="4" s="1"/>
  <c r="J8" i="4" s="1"/>
  <c r="H9" i="4"/>
  <c r="I9" i="4" s="1"/>
  <c r="J9" i="4" s="1"/>
  <c r="H10" i="4"/>
  <c r="I10" i="4" s="1"/>
  <c r="H11" i="4"/>
  <c r="I11" i="4" s="1"/>
  <c r="H12" i="4"/>
  <c r="I12" i="4" s="1"/>
  <c r="J12" i="4" s="1"/>
  <c r="H13" i="4"/>
  <c r="I13" i="4" s="1"/>
  <c r="J13" i="4" s="1"/>
  <c r="H14" i="4"/>
  <c r="I14" i="4" s="1"/>
  <c r="J14" i="4" s="1"/>
  <c r="H15" i="4"/>
  <c r="I15" i="4" s="1"/>
  <c r="J15" i="4" s="1"/>
  <c r="H16" i="4"/>
  <c r="I16" i="4" s="1"/>
  <c r="J16" i="4" s="1"/>
  <c r="H17" i="4"/>
  <c r="I17" i="4" s="1"/>
  <c r="J17" i="4" s="1"/>
  <c r="H18" i="4"/>
  <c r="I18" i="4" s="1"/>
  <c r="J18" i="4" s="1"/>
  <c r="H19" i="4"/>
  <c r="I19" i="4" s="1"/>
  <c r="J19" i="4" s="1"/>
  <c r="H20" i="4"/>
  <c r="I20" i="4" s="1"/>
  <c r="J20" i="4" s="1"/>
  <c r="H2" i="4"/>
  <c r="I4" i="13" l="1"/>
  <c r="J4" i="13" s="1"/>
  <c r="I5" i="13"/>
  <c r="J5" i="13" s="1"/>
  <c r="I3" i="13"/>
  <c r="J3" i="13" s="1"/>
  <c r="I6" i="13"/>
  <c r="J6" i="13" s="1"/>
  <c r="I7" i="13"/>
  <c r="J7" i="13" s="1"/>
  <c r="J17" i="12"/>
  <c r="K17" i="12" s="1"/>
  <c r="J8" i="12"/>
  <c r="K8" i="12" s="1"/>
  <c r="J13" i="12"/>
  <c r="K13" i="12" s="1"/>
  <c r="J19" i="12"/>
  <c r="K19" i="12" s="1"/>
  <c r="J4" i="12"/>
  <c r="K4" i="12" s="1"/>
  <c r="J9" i="12"/>
  <c r="J15" i="12"/>
  <c r="K15" i="12" s="1"/>
  <c r="J20" i="12"/>
  <c r="K20" i="12" s="1"/>
  <c r="J18" i="12"/>
  <c r="K18" i="12" s="1"/>
  <c r="J14" i="12"/>
  <c r="K14" i="12" s="1"/>
  <c r="J10" i="12"/>
  <c r="K10" i="12" s="1"/>
  <c r="J6" i="12"/>
  <c r="K6" i="12" s="1"/>
  <c r="J5" i="12"/>
  <c r="J11" i="12"/>
  <c r="K11" i="12" s="1"/>
  <c r="J16" i="12"/>
  <c r="K16" i="12" s="1"/>
  <c r="J3" i="12"/>
  <c r="K3" i="12" s="1"/>
  <c r="J7" i="12"/>
  <c r="K7" i="12" s="1"/>
  <c r="J12" i="12"/>
  <c r="K12" i="12" s="1"/>
  <c r="I5" i="11"/>
  <c r="J5" i="11" s="1"/>
  <c r="I7" i="11"/>
  <c r="J7" i="11" s="1"/>
  <c r="I3" i="11"/>
  <c r="J3" i="11" s="1"/>
  <c r="I6" i="11"/>
  <c r="J6" i="11" s="1"/>
  <c r="I4" i="11"/>
  <c r="J4" i="11" s="1"/>
  <c r="I8" i="11"/>
  <c r="J8" i="11" s="1"/>
  <c r="J14" i="10"/>
  <c r="K14" i="10" s="1"/>
  <c r="J15" i="10"/>
  <c r="K15" i="10" s="1"/>
  <c r="J16" i="10"/>
  <c r="K16" i="10" s="1"/>
  <c r="J17" i="10"/>
  <c r="K17" i="10" s="1"/>
  <c r="J5" i="10"/>
  <c r="J6" i="10"/>
  <c r="K6" i="10" s="1"/>
  <c r="J7" i="10"/>
  <c r="K7" i="10" s="1"/>
  <c r="J8" i="10"/>
  <c r="K8" i="10" s="1"/>
  <c r="J9" i="10"/>
  <c r="K9" i="10" s="1"/>
  <c r="J10" i="10"/>
  <c r="J11" i="10"/>
  <c r="K11" i="10" s="1"/>
  <c r="J12" i="10"/>
  <c r="K12" i="10" s="1"/>
  <c r="J13" i="10"/>
  <c r="K13" i="10" s="1"/>
  <c r="J18" i="10"/>
  <c r="K18" i="10" s="1"/>
  <c r="J4" i="10"/>
  <c r="K4" i="10" s="1"/>
  <c r="J20" i="10"/>
  <c r="K20" i="10" s="1"/>
  <c r="J3" i="10"/>
  <c r="K3" i="10" s="1"/>
  <c r="J19" i="9"/>
  <c r="K19" i="9" s="1"/>
  <c r="J15" i="9"/>
  <c r="K15" i="9" s="1"/>
  <c r="J6" i="9"/>
  <c r="K6" i="9" s="1"/>
  <c r="J10" i="9"/>
  <c r="K10" i="9" s="1"/>
  <c r="J14" i="9"/>
  <c r="K14" i="9" s="1"/>
  <c r="J18" i="9"/>
  <c r="K18" i="9" s="1"/>
  <c r="J4" i="9"/>
  <c r="K4" i="9" s="1"/>
  <c r="J8" i="9"/>
  <c r="K8" i="9" s="1"/>
  <c r="J12" i="9"/>
  <c r="K12" i="9" s="1"/>
  <c r="J16" i="9"/>
  <c r="K16" i="9" s="1"/>
  <c r="J20" i="9"/>
  <c r="K20" i="9" s="1"/>
  <c r="J5" i="9"/>
  <c r="K5" i="9" s="1"/>
  <c r="J17" i="9"/>
  <c r="K17" i="9" s="1"/>
  <c r="J9" i="9"/>
  <c r="K9" i="9" s="1"/>
  <c r="J13" i="9"/>
  <c r="K13" i="9" s="1"/>
  <c r="J3" i="9"/>
  <c r="K3" i="9" s="1"/>
  <c r="J7" i="9"/>
  <c r="K7" i="9" s="1"/>
  <c r="J11" i="9"/>
  <c r="K11" i="9" s="1"/>
  <c r="H11" i="8"/>
  <c r="I11" i="8" s="1"/>
  <c r="H12" i="8"/>
  <c r="I12" i="8" s="1"/>
  <c r="H14" i="8"/>
  <c r="I14" i="8" s="1"/>
  <c r="H7" i="8"/>
  <c r="I7" i="8" s="1"/>
  <c r="H19" i="8"/>
  <c r="I19" i="8" s="1"/>
  <c r="H17" i="8"/>
  <c r="I17" i="8" s="1"/>
  <c r="H10" i="8"/>
  <c r="I10" i="8" s="1"/>
  <c r="H8" i="8"/>
  <c r="I8" i="8" s="1"/>
  <c r="H3" i="8"/>
  <c r="I3" i="8" s="1"/>
  <c r="H20" i="8"/>
  <c r="I20" i="8" s="1"/>
  <c r="H15" i="8"/>
  <c r="I15" i="8" s="1"/>
  <c r="H13" i="8"/>
  <c r="I13" i="8" s="1"/>
  <c r="H6" i="8"/>
  <c r="I6" i="8" s="1"/>
  <c r="H4" i="8"/>
  <c r="I4" i="8" s="1"/>
  <c r="H18" i="8"/>
  <c r="H16" i="8"/>
  <c r="I16" i="8" s="1"/>
  <c r="H9" i="8"/>
  <c r="I9" i="8" s="1"/>
  <c r="H5" i="8"/>
  <c r="I5" i="8" s="1"/>
  <c r="M10" i="6"/>
  <c r="N10" i="6" s="1"/>
  <c r="M14" i="6"/>
  <c r="N14" i="6" s="1"/>
  <c r="M17" i="6"/>
  <c r="N17" i="6" s="1"/>
  <c r="M3" i="6"/>
  <c r="N3" i="6" s="1"/>
  <c r="M15" i="6"/>
  <c r="N15" i="6" s="1"/>
  <c r="M19" i="6"/>
  <c r="N19" i="6" s="1"/>
  <c r="M4" i="6"/>
  <c r="N4" i="6" s="1"/>
  <c r="M8" i="6"/>
  <c r="N8" i="6" s="1"/>
  <c r="M5" i="6"/>
  <c r="N5" i="6" s="1"/>
  <c r="M9" i="6"/>
  <c r="N9" i="6" s="1"/>
  <c r="M13" i="6"/>
  <c r="N13" i="6" s="1"/>
  <c r="N21" i="6"/>
  <c r="M10" i="5"/>
  <c r="N10" i="5" s="1"/>
  <c r="M15" i="5"/>
  <c r="N15" i="5" s="1"/>
  <c r="M7" i="5"/>
  <c r="N7" i="5" s="1"/>
  <c r="M11" i="5"/>
  <c r="N11" i="5" s="1"/>
  <c r="M16" i="5"/>
  <c r="N16" i="5" s="1"/>
  <c r="M8" i="5"/>
  <c r="N8" i="5" s="1"/>
  <c r="M13" i="5"/>
  <c r="N13" i="5" s="1"/>
  <c r="M9" i="5"/>
  <c r="N9" i="5" s="1"/>
  <c r="M14" i="5"/>
  <c r="N14" i="5" s="1"/>
  <c r="M17" i="5"/>
  <c r="N17" i="5" s="1"/>
  <c r="M3" i="5"/>
  <c r="N3" i="5" s="1"/>
  <c r="M4" i="5"/>
  <c r="N4" i="5" s="1"/>
  <c r="M19" i="5"/>
  <c r="N19" i="5" s="1"/>
  <c r="M5" i="5"/>
  <c r="N5" i="5" s="1"/>
  <c r="J21" i="4"/>
  <c r="K21" i="12" l="1"/>
  <c r="K21" i="10"/>
  <c r="I21" i="8"/>
  <c r="N2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468B2B44-EF21-422A-A74D-A5B529EDA7F1}">
      <text>
        <r>
          <rPr>
            <b/>
            <sz val="9"/>
            <color indexed="81"/>
            <rFont val="Tahoma"/>
            <charset val="1"/>
          </rPr>
          <t xml:space="preserve">Szabó Dániel:
</t>
        </r>
        <r>
          <rPr>
            <sz val="9"/>
            <color indexed="81"/>
            <rFont val="Tahoma"/>
            <family val="2"/>
            <charset val="238"/>
          </rPr>
          <t xml:space="preserve">- helyes kiíratás
- 1 jó elágazás
- összes jó elágazás
- import random
- véletlen szám generálás [0,9]
</t>
        </r>
      </text>
    </comment>
    <comment ref="D1" authorId="0" shapeId="0" xr:uid="{2B1C4508-2B3E-4F33-8C5B-3101D3C2CAC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szám bekérésése
- int-é alakítás
- jó óra
- jó perc 
- jó sec
- helyes kiíratás</t>
        </r>
      </text>
    </comment>
    <comment ref="E1" authorId="0" shapeId="0" xr:uid="{CCE470CF-4B6C-4D38-879E-B2662987944F}">
      <text>
        <r>
          <rPr>
            <b/>
            <sz val="9"/>
            <color indexed="81"/>
            <rFont val="Tahoma"/>
            <charset val="1"/>
          </rPr>
          <t>Szabó Dániel:</t>
        </r>
        <r>
          <rPr>
            <sz val="9"/>
            <color indexed="81"/>
            <rFont val="Tahoma"/>
            <charset val="1"/>
          </rPr>
          <t xml:space="preserve">
- szám generálás jó intervallumból
- számjegyekere bontás 2 pont
- számjegyek köbe
- elágazás 2 pont</t>
        </r>
      </text>
    </comment>
    <comment ref="F1" authorId="0" shapeId="0" xr:uid="{FC8C0A65-288A-40AE-8CDD-674770569CF9}">
      <text>
        <r>
          <rPr>
            <b/>
            <sz val="9"/>
            <color indexed="81"/>
            <rFont val="Tahoma"/>
            <charset val="1"/>
          </rPr>
          <t>Szabó Dániel:</t>
        </r>
        <r>
          <rPr>
            <sz val="9"/>
            <color indexed="81"/>
            <rFont val="Tahoma"/>
            <charset val="1"/>
          </rPr>
          <t xml:space="preserve">
- három véletlen szám
- jó intervallumból
- helyes képlet használat
- kerekítés
- elágazások használata 2 pont</t>
        </r>
      </text>
    </comment>
    <comment ref="C4" authorId="0" shapeId="0" xr:uid="{071BCAC3-C990-43C9-98D8-197A86C5015C}">
      <text>
        <r>
          <rPr>
            <b/>
            <sz val="9"/>
            <color indexed="81"/>
            <rFont val="Tahoma"/>
            <charset val="1"/>
          </rPr>
          <t>Szabó Dániel:</t>
        </r>
        <r>
          <rPr>
            <sz val="9"/>
            <color indexed="81"/>
            <rFont val="Tahoma"/>
            <charset val="1"/>
          </rPr>
          <t xml:space="preserve">
- szam == 1 or 6 HIBA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C59FD2C4-6754-4DBF-9917-C027009C8D06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import random
- kétjegyű véletlen
</t>
        </r>
      </text>
    </comment>
    <comment ref="D1" authorId="0" shapeId="0" xr:uid="{9B376669-7BDF-49F7-A3C8-7CC13B13839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háromjegyű
- db számnyi 3 pont
- egymás mellé szóközzel</t>
        </r>
      </text>
    </comment>
    <comment ref="E1" authorId="0" shapeId="0" xr:uid="{4CDBC866-DF2D-4171-AE04-3241D6130EF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3-mal oszthatók
- db = 0
- elágazás jó 2pont
- ki db</t>
        </r>
      </text>
    </comment>
    <comment ref="F1" authorId="0" shapeId="0" xr:uid="{870FFB42-C0CF-4455-A088-A30AACE7522F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osszeg = 0
- összegzés 
- gyökvonás
- kerekítés </t>
        </r>
      </text>
    </comment>
    <comment ref="G1" authorId="0" shapeId="0" xr:uid="{F14CA108-3677-4D9F-AB7C-D058AF723597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szöveg input</t>
        </r>
      </text>
    </comment>
    <comment ref="H1" authorId="0" shapeId="0" xr:uid="{EEC18465-803C-4367-8A25-29243B625EB9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középső karakter
- elágazás elemszám párossága 2 pont
- index
- index1,2
</t>
        </r>
      </text>
    </comment>
    <comment ref="I1" authorId="0" shapeId="0" xr:uid="{1567A429-2223-4D02-9EF3-D3AC33885626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ciklus szöveg hosszig
- 2esével
- indexre hivatkozva</t>
        </r>
      </text>
    </comment>
    <comment ref="J1" authorId="0" shapeId="0" xr:uid="{B4865DFF-A26A-4882-8D8A-408647A42626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karaktereket $-jellel választotta 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7AD37E2D-0832-4E92-9F28-939C819A880B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import random
- kétjegyű véletlen
</t>
        </r>
      </text>
    </comment>
    <comment ref="D1" authorId="0" shapeId="0" xr:uid="{6DEE4EF7-2A72-4E4A-8AFD-AE159E099666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háromjegyű
- db számnyi 3 pont
- egymás mellé szóközzel</t>
        </r>
      </text>
    </comment>
    <comment ref="E1" authorId="0" shapeId="0" xr:uid="{7BE7463A-572A-4186-A97A-9206E59D20D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3-mal oszthatók
- db = 0
- elágazás jó 2pont
- ki db</t>
        </r>
      </text>
    </comment>
    <comment ref="F1" authorId="0" shapeId="0" xr:uid="{72D22C12-E3B5-4EF9-94AD-6C4231EEB3E0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osszeg = 0
- összegzés 
- gyökvonás
- kerekítés </t>
        </r>
      </text>
    </comment>
    <comment ref="G1" authorId="0" shapeId="0" xr:uid="{92F50874-D953-450E-9F1A-922EF7574DCA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szöveg input</t>
        </r>
      </text>
    </comment>
    <comment ref="H1" authorId="0" shapeId="0" xr:uid="{86D19C6B-39A3-4600-B2DB-FEB518AF4FAC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középső karakter
- elágazás elemszám párossága 2 pont
- index
- index1,2
</t>
        </r>
      </text>
    </comment>
    <comment ref="I1" authorId="0" shapeId="0" xr:uid="{69573587-1A6A-4EBA-A423-E7256592D00E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ciklus szöveg hosszig
- 2esével
- indexre hivatkozva</t>
        </r>
      </text>
    </comment>
    <comment ref="J1" authorId="0" shapeId="0" xr:uid="{475B82E5-5737-4E88-A6DF-1609279A815D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karaktereket $-jellel választotta el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066E3E95-E252-41F8-AF46-0E38D5A6ABAB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teljes név szóiközzel 1 pont
- szétszedés szóköz alapján - 2 pont</t>
        </r>
      </text>
    </comment>
    <comment ref="D1" authorId="0" shapeId="0" xr:uid="{8D1230E4-C8BD-406C-B4C4-516386A71C45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évszám bekérése
</t>
        </r>
      </text>
    </comment>
    <comment ref="E1" authorId="0" shapeId="0" xr:uid="{385D41A9-59FA-4FBA-893B-F19755EBEB88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év paritásának ellenőrzése 1 pont
- páratlan/páros indexű btűk kiszedése 2 pont
- évszám utolsó két számjegye 1 pont
- keresztnév középső betűi (páros/páratlan) 2 pont</t>
        </r>
      </text>
    </comment>
    <comment ref="F1" authorId="0" shapeId="0" xr:uid="{2802782B-F2FD-4A4D-A74D-8E3BA6BA74CD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[2,5] véletlenszzám 1 pont
- [6,9] előző véletlen számnyi 2 pont
- számok összege 2 pont
- összefűzés 1 pont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097B0038-7906-45CD-A7B9-840A65E37C32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szöveg bekérése
</t>
        </r>
      </text>
    </comment>
    <comment ref="D1" authorId="0" shapeId="0" xr:uid="{5978D5EE-B40D-4BC3-BFBC-D60D71A442B8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szöveg egymás alá</t>
        </r>
      </text>
    </comment>
    <comment ref="E1" authorId="0" shapeId="0" xr:uid="{6362F69F-0387-485A-9F5F-FEFBD1998215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szám bekérése 1-szöveghossz között</t>
        </r>
      </text>
    </comment>
    <comment ref="F1" authorId="0" shapeId="0" xr:uid="{3FA86FE1-BE8B-43A5-9B08-F818F54D14ED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ennyi karakter kiíratása
</t>
        </r>
      </text>
    </comment>
    <comment ref="G1" authorId="0" shapeId="0" xr:uid="{568C2643-0256-4F36-9A22-905965CF1AC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- 13 db 2 jegyű véletlen, nem 3-mal osztható
</t>
        </r>
      </text>
    </comment>
    <comment ref="H1" authorId="0" shapeId="0" xr:uid="{49DF8275-6F61-45CF-A4A9-BC259EA5E4C4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páratlanok átlaga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AD527A76-2EB6-47AF-B500-4B2D16DC3333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Fv. (db) - 2p
- lista - db-nyi [2,36] - 3p
- return lista  - 1p
- egy függvyént használ - 1p
- shrek Fv(7)  - 1p
- fióna Fv(7) - 1p</t>
        </r>
      </text>
    </comment>
    <comment ref="D1" authorId="0" shapeId="0" xr:uid="{04AC32BB-9A84-47E0-8155-E7946C9BA2C2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Fv(lista) - 1p
- összegzés - 3p
- return összeg - 1p
- egy függvényt írt ! - 1p</t>
        </r>
      </text>
    </comment>
    <comment ref="E1" authorId="0" shapeId="0" xr:uid="{4455C7AC-D12F-43A1-B587-8408B82037D0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eljárás(lista, összeg)  - 2p 
- kiíratás a minta alapján  - 3p</t>
        </r>
      </text>
    </comment>
    <comment ref="F1" authorId="0" shapeId="0" xr:uid="{5CDCD260-0E7B-4DB6-8FCC-CBB609FF4A50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Fv(lista1, lista2) - 2p
- ki nyert - 2p
- return helyes válasz - 1p</t>
        </r>
      </text>
    </comment>
    <comment ref="G1" authorId="0" shapeId="0" xr:uid="{16A68E81-31C4-4265-98EB-6EA42D152D34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 - Fv(lista1, lista2)  - 2p
- eldöntés  - 7p
- returm helyes válasz - 1p
</t>
        </r>
      </text>
    </comment>
    <comment ref="H1" authorId="0" shapeId="0" xr:uid="{43ACD52D-2D41-4A54-B861-95E9D63AD7D4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- 2 x mini(lista) - 5p
- legkisebb kié -2p
- melyik kör - 1p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4B022854-593D-4AF4-B4DE-00FD995AD2B4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Fv. (db) - 2p
- lista - db-nyi [20,99] - 2p
- return lista  - 1p
- egy függvyént használ - 1p
- kukori Fv(7)  - 1p
- kotkoda Fv(7) - 1p</t>
        </r>
      </text>
    </comment>
    <comment ref="D1" authorId="0" shapeId="0" xr:uid="{65957D24-C805-472C-928D-A679C5A324AC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Fv(lista) - 1p
- maximum index - 4p
- return maxi - 1p
- egy függvényt írt ! - 1p</t>
        </r>
      </text>
    </comment>
    <comment ref="E1" authorId="0" shapeId="0" xr:uid="{DB8B8E12-8428-45EF-BF75-5F1E043EF6DF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eljárás(lista, max)  - 2p 
- kiíratás a minta alapján  - 3p
</t>
        </r>
      </text>
    </comment>
    <comment ref="F1" authorId="0" shapeId="0" xr:uid="{68FFA849-612A-4F68-914C-FCC1F76A5EB7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Fv(lista1, lista2) - 2p
- osszegzes - 3p
- ki nyert - 2p
- return helyes válasz - 1p</t>
        </r>
      </text>
    </comment>
    <comment ref="G1" authorId="0" shapeId="0" xr:uid="{5E360CFB-0E65-4CE7-A178-96C9C5B319B2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 - Fv(lista1, lista2)  - 2p
- eldöntés  - 7p
- returm helyes válasz - 1p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6DBEC173-75B4-4272-9815-7967912BD1C8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db = Fv() - 1p 
- Terminálról beolvassa az első sort - db - 1p
- db-nyi sort beolvas - 1p
- minden sort darabol - 1p
- helyesen tuple-be menti megfelelő típussal - 1p
- return lista - 1p</t>
        </r>
      </text>
    </comment>
    <comment ref="D1" authorId="0" shapeId="0" xr:uid="{7BB8816C-9FD5-4927-B32A-166B166F82EB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Fv(adatok) - 1p
- maxindex - 3p
- return maxi - 1p
- jó név kiíratása - 1p</t>
        </r>
      </text>
    </comment>
    <comment ref="E1" authorId="0" shapeId="0" xr:uid="{A7201B0F-EFC4-4E37-B8AC-8FC061DF9AEC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Fv(adatok, szo) - 1p
- megszámlálás - 3p
- return db - 1p
- kiíratás helyesen - 1p</t>
        </r>
      </text>
    </comment>
    <comment ref="F1" authorId="0" shapeId="0" xr:uid="{3BF4CD2D-4C20-4CF4-9EC3-134BDDF6FB3C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eljárás(adatok) - 1p
- kiíratás helyesen - 2p
</t>
        </r>
      </text>
    </comment>
    <comment ref="G1" authorId="0" shapeId="0" xr:uid="{26052F23-7708-4F93-BA57-7894C4843CEB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dátum bekérése - 1p
- fv(adatok, datum) - 1p
- keresés - 4p
- return - 1p
- helyes kiíratás, név vagy nélküle - 2p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Szabó Dániel</author>
  </authors>
  <commentList>
    <comment ref="C1" authorId="0" shapeId="0" xr:uid="{737A0AD3-623D-4BA1-AA70-94622433D2B2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db = Fv() - 1p 
- Terminálról beolvassa az első sort - db - 1p
- db-nyi sort beolvas - 1p
- minden sort darabol - 1p
- helyesen tuple-be menti megfelelő típussal - 1p
- return lista - 1p</t>
        </r>
      </text>
    </comment>
    <comment ref="D1" authorId="0" shapeId="0" xr:uid="{68C1D262-FD26-4EBD-B932-8CED565C85EA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tábor bekérése - 1p
- fv(adat, tabaor) - 1p
- keresés - 4p
- vissza index, -1p
- pontos kiíratás -2p</t>
        </r>
      </text>
    </comment>
    <comment ref="E1" authorId="0" shapeId="0" xr:uid="{602FF832-6F4D-4AB3-BCE2-B331064EE3D6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Fv(adatok) - 1p
- maxindex, hossz alapján - 4p
- return maxi - 1p
- több kiíratás - 2p
- jó tábor kiíratása - 1p
</t>
        </r>
      </text>
    </comment>
    <comment ref="F1" authorId="0" shapeId="0" xr:uid="{6408EA84-347A-4355-A501-59853B6E4281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fv(adat) - 1p
- megszámlálás kezdő hó - 3p
- véghó - 1p
- vissza db - 1p
- kiiratás - 1p</t>
        </r>
      </text>
    </comment>
    <comment ref="G1" authorId="0" shapeId="0" xr:uid="{2BBED4BF-60CF-4BF3-A967-76F739797523}">
      <text>
        <r>
          <rPr>
            <b/>
            <sz val="9"/>
            <color indexed="81"/>
            <rFont val="Tahoma"/>
            <family val="2"/>
            <charset val="238"/>
          </rPr>
          <t>Szabó Dániel:</t>
        </r>
        <r>
          <rPr>
            <sz val="9"/>
            <color indexed="81"/>
            <rFont val="Tahoma"/>
            <family val="2"/>
            <charset val="238"/>
          </rPr>
          <t xml:space="preserve">
- dátum bekérése - 1p
- fv(adatok, datum) - 1p
- keresés - 4p
- return - 1p
- helyes kiíratás, név vagy nélküle - 2p</t>
        </r>
      </text>
    </comment>
  </commentList>
</comments>
</file>

<file path=xl/sharedStrings.xml><?xml version="1.0" encoding="utf-8"?>
<sst xmlns="http://schemas.openxmlformats.org/spreadsheetml/2006/main" count="417" uniqueCount="39">
  <si>
    <t>Baksa Bence</t>
  </si>
  <si>
    <t>Balázs Kristóf</t>
  </si>
  <si>
    <t>Baráth Jázmin</t>
  </si>
  <si>
    <t>Barta Gergely</t>
  </si>
  <si>
    <t>Fajka Gábor</t>
  </si>
  <si>
    <t>Feke Erik</t>
  </si>
  <si>
    <t>Gados Dominik</t>
  </si>
  <si>
    <t>Geréb Tamás</t>
  </si>
  <si>
    <t>Kökény Martin Károly</t>
  </si>
  <si>
    <t>Mari Norbert </t>
  </si>
  <si>
    <t>Ribárik Bence </t>
  </si>
  <si>
    <t>Sándor Norbert</t>
  </si>
  <si>
    <t>Soltész Apor</t>
  </si>
  <si>
    <t>Szemők Zoltán</t>
  </si>
  <si>
    <t>Tarai Bence</t>
  </si>
  <si>
    <t>Ürögdi Gellért</t>
  </si>
  <si>
    <t>Váczi Szabolcs</t>
  </si>
  <si>
    <t>Vasas Gábor </t>
  </si>
  <si>
    <t>1 feladat</t>
  </si>
  <si>
    <t>2 feladat</t>
  </si>
  <si>
    <t>3 feladat</t>
  </si>
  <si>
    <t>4 feladat</t>
  </si>
  <si>
    <t>Összesen</t>
  </si>
  <si>
    <t>Százalék</t>
  </si>
  <si>
    <t>jegy</t>
  </si>
  <si>
    <t>-</t>
  </si>
  <si>
    <t>Futtaási hiba, szintaktikai hiba, plusz pont</t>
  </si>
  <si>
    <t>1.a</t>
  </si>
  <si>
    <t>1.b</t>
  </si>
  <si>
    <t>1.c</t>
  </si>
  <si>
    <t>1.d</t>
  </si>
  <si>
    <t>2.a</t>
  </si>
  <si>
    <t>2.b</t>
  </si>
  <si>
    <t>2.c</t>
  </si>
  <si>
    <t>2.d</t>
  </si>
  <si>
    <t>Max pont</t>
  </si>
  <si>
    <t>levonás</t>
  </si>
  <si>
    <t>sorsz</t>
  </si>
  <si>
    <t>név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</si>
</sst>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rgb="FF000000"/>
      <name val="Calibri"/>
      <family val="2"/>
      <charset val="238"/>
    </font>
    <font>
      <strike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wrapText="1"/>
    </xf>
    <xf numFmtId="9" fontId="0" fillId="0" borderId="0" xfId="0" applyNumberFormat="1"/>
    <xf numFmtId="9" fontId="0" fillId="0" borderId="0" xfId="1" applyFont="1"/>
    <xf numFmtId="1" fontId="0" fillId="0" borderId="0" xfId="0" applyNumberFormat="1"/>
    <xf numFmtId="0" fontId="0" fillId="0" borderId="2" xfId="0" applyBorder="1"/>
    <xf numFmtId="0" fontId="8" fillId="0" borderId="0" xfId="0" applyFont="1"/>
    <xf numFmtId="0" fontId="0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1" fontId="0" fillId="0" borderId="5" xfId="0" applyNumberFormat="1" applyBorder="1"/>
  </cellXfs>
  <cellStyles count="2">
    <cellStyle name="Normál" xfId="0" builtinId="0"/>
    <cellStyle name="Százalék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11</xdr:row>
          <xdr:rowOff>66675</xdr:rowOff>
        </xdr:from>
        <xdr:to>
          <xdr:col>19</xdr:col>
          <xdr:colOff>419100</xdr:colOff>
          <xdr:row>14</xdr:row>
          <xdr:rowOff>9525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Generálj nevenként fájlokat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11</xdr:row>
          <xdr:rowOff>66675</xdr:rowOff>
        </xdr:from>
        <xdr:to>
          <xdr:col>19</xdr:col>
          <xdr:colOff>419100</xdr:colOff>
          <xdr:row>14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Generálj nevenként fájlokat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A18"/>
  <sheetViews>
    <sheetView workbookViewId="0">
      <selection sqref="A1:A18"/>
    </sheetView>
  </sheetViews>
  <sheetFormatPr defaultRowHeight="15" x14ac:dyDescent="0.25"/>
  <cols>
    <col min="1" max="1" width="11.8554687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D5B42-45E5-4FCB-AC1C-E22E29A69A29}">
  <sheetPr codeName="Munka2"/>
  <dimension ref="A1:M21"/>
  <sheetViews>
    <sheetView workbookViewId="0">
      <selection activeCell="P11" sqref="P11"/>
    </sheetView>
  </sheetViews>
  <sheetFormatPr defaultRowHeight="15" x14ac:dyDescent="0.25"/>
  <cols>
    <col min="1" max="1" width="4.7109375" customWidth="1"/>
    <col min="2" max="2" width="20.140625" bestFit="1" customWidth="1"/>
    <col min="7" max="7" width="22.5703125" customWidth="1"/>
  </cols>
  <sheetData>
    <row r="1" spans="1:13" ht="45" x14ac:dyDescent="0.25">
      <c r="C1" t="s">
        <v>18</v>
      </c>
      <c r="D1" t="s">
        <v>19</v>
      </c>
      <c r="E1" t="s">
        <v>20</v>
      </c>
      <c r="F1" t="s">
        <v>21</v>
      </c>
      <c r="G1" s="3" t="s">
        <v>26</v>
      </c>
      <c r="H1" t="s">
        <v>22</v>
      </c>
      <c r="I1" t="s">
        <v>23</v>
      </c>
      <c r="J1" t="s">
        <v>24</v>
      </c>
    </row>
    <row r="2" spans="1:13" x14ac:dyDescent="0.25">
      <c r="C2">
        <v>5</v>
      </c>
      <c r="D2">
        <v>6</v>
      </c>
      <c r="E2">
        <v>6</v>
      </c>
      <c r="F2">
        <v>6</v>
      </c>
      <c r="G2">
        <v>0</v>
      </c>
      <c r="H2">
        <f>SUM(C2:G2)</f>
        <v>23</v>
      </c>
    </row>
    <row r="3" spans="1:13" x14ac:dyDescent="0.25">
      <c r="A3">
        <v>1</v>
      </c>
      <c r="B3" t="s">
        <v>0</v>
      </c>
      <c r="C3">
        <v>5</v>
      </c>
      <c r="D3">
        <v>1</v>
      </c>
      <c r="E3">
        <v>0</v>
      </c>
      <c r="F3">
        <v>0</v>
      </c>
      <c r="G3">
        <v>0</v>
      </c>
      <c r="H3">
        <f t="shared" ref="H3:H20" si="0">SUM(C3:G3)</f>
        <v>6</v>
      </c>
      <c r="I3" s="5">
        <f>H3/$H$2</f>
        <v>0.2608695652173913</v>
      </c>
      <c r="J3">
        <f>VLOOKUP(I3,$L$3:$M$7,2,TRUE)</f>
        <v>1</v>
      </c>
      <c r="L3" s="4">
        <v>0</v>
      </c>
      <c r="M3">
        <v>1</v>
      </c>
    </row>
    <row r="4" spans="1:13" x14ac:dyDescent="0.25">
      <c r="A4">
        <v>2</v>
      </c>
      <c r="B4" t="s">
        <v>1</v>
      </c>
      <c r="C4">
        <v>3</v>
      </c>
      <c r="D4">
        <v>2</v>
      </c>
      <c r="E4">
        <v>0</v>
      </c>
      <c r="F4">
        <v>1</v>
      </c>
      <c r="G4">
        <v>-1</v>
      </c>
      <c r="H4">
        <f t="shared" si="0"/>
        <v>5</v>
      </c>
      <c r="I4" s="5">
        <f t="shared" ref="I4:I20" si="1">H4/$H$2</f>
        <v>0.21739130434782608</v>
      </c>
      <c r="J4">
        <f t="shared" ref="J4:J20" si="2">VLOOKUP(I4,$L$3:$M$7,2,TRUE)</f>
        <v>1</v>
      </c>
      <c r="K4">
        <v>1</v>
      </c>
      <c r="L4" s="4">
        <v>0.4</v>
      </c>
      <c r="M4">
        <v>2</v>
      </c>
    </row>
    <row r="5" spans="1:13" x14ac:dyDescent="0.25">
      <c r="A5">
        <v>3</v>
      </c>
      <c r="B5" t="s">
        <v>2</v>
      </c>
      <c r="C5">
        <v>1</v>
      </c>
      <c r="D5">
        <v>0</v>
      </c>
      <c r="E5">
        <v>0</v>
      </c>
      <c r="F5">
        <v>0</v>
      </c>
      <c r="G5">
        <v>-1</v>
      </c>
      <c r="H5">
        <f t="shared" si="0"/>
        <v>0</v>
      </c>
      <c r="I5" s="5">
        <f t="shared" si="1"/>
        <v>0</v>
      </c>
      <c r="J5">
        <f t="shared" si="2"/>
        <v>1</v>
      </c>
      <c r="L5" s="4">
        <v>0.55000000000000004</v>
      </c>
      <c r="M5">
        <v>3</v>
      </c>
    </row>
    <row r="6" spans="1:13" x14ac:dyDescent="0.25">
      <c r="A6">
        <v>4</v>
      </c>
      <c r="B6" t="s">
        <v>3</v>
      </c>
      <c r="C6">
        <v>4</v>
      </c>
      <c r="D6">
        <v>2</v>
      </c>
      <c r="E6">
        <v>0</v>
      </c>
      <c r="F6">
        <v>3</v>
      </c>
      <c r="G6">
        <v>-1</v>
      </c>
      <c r="H6">
        <f t="shared" si="0"/>
        <v>8</v>
      </c>
      <c r="I6" s="5">
        <f t="shared" si="1"/>
        <v>0.34782608695652173</v>
      </c>
      <c r="J6">
        <f t="shared" si="2"/>
        <v>1</v>
      </c>
      <c r="L6" s="4">
        <v>0.7</v>
      </c>
      <c r="M6">
        <v>4</v>
      </c>
    </row>
    <row r="7" spans="1:13" x14ac:dyDescent="0.25">
      <c r="A7">
        <v>5</v>
      </c>
      <c r="B7" t="s">
        <v>4</v>
      </c>
      <c r="C7">
        <v>3</v>
      </c>
      <c r="D7">
        <v>0</v>
      </c>
      <c r="E7">
        <v>0</v>
      </c>
      <c r="F7">
        <v>0</v>
      </c>
      <c r="G7">
        <v>0</v>
      </c>
      <c r="H7">
        <f t="shared" si="0"/>
        <v>3</v>
      </c>
      <c r="I7" s="5">
        <f t="shared" si="1"/>
        <v>0.13043478260869565</v>
      </c>
      <c r="J7">
        <f t="shared" si="2"/>
        <v>1</v>
      </c>
      <c r="K7">
        <v>1</v>
      </c>
      <c r="L7" s="4">
        <v>0.85</v>
      </c>
      <c r="M7">
        <v>5</v>
      </c>
    </row>
    <row r="8" spans="1:13" x14ac:dyDescent="0.25">
      <c r="A8">
        <v>6</v>
      </c>
      <c r="B8" t="s">
        <v>5</v>
      </c>
      <c r="C8">
        <v>4</v>
      </c>
      <c r="D8">
        <v>2</v>
      </c>
      <c r="E8">
        <v>1</v>
      </c>
      <c r="F8">
        <v>2</v>
      </c>
      <c r="G8">
        <v>2</v>
      </c>
      <c r="H8">
        <f t="shared" si="0"/>
        <v>11</v>
      </c>
      <c r="I8" s="5">
        <f t="shared" si="1"/>
        <v>0.47826086956521741</v>
      </c>
      <c r="J8">
        <f t="shared" si="2"/>
        <v>2</v>
      </c>
    </row>
    <row r="9" spans="1:13" x14ac:dyDescent="0.25">
      <c r="A9">
        <v>7</v>
      </c>
      <c r="B9" t="s">
        <v>6</v>
      </c>
      <c r="C9">
        <v>4</v>
      </c>
      <c r="D9">
        <v>2</v>
      </c>
      <c r="E9">
        <v>1</v>
      </c>
      <c r="F9" s="6">
        <v>2.4</v>
      </c>
      <c r="G9" s="6">
        <v>0</v>
      </c>
      <c r="H9" s="6">
        <f t="shared" si="0"/>
        <v>9.4</v>
      </c>
      <c r="I9" s="5">
        <f t="shared" si="1"/>
        <v>0.40869565217391307</v>
      </c>
      <c r="J9">
        <f t="shared" si="2"/>
        <v>2</v>
      </c>
    </row>
    <row r="10" spans="1:13" x14ac:dyDescent="0.25">
      <c r="A10">
        <v>8</v>
      </c>
      <c r="B10" t="s">
        <v>7</v>
      </c>
      <c r="C10" t="s">
        <v>25</v>
      </c>
      <c r="D10" t="s">
        <v>25</v>
      </c>
      <c r="E10" t="s">
        <v>25</v>
      </c>
      <c r="F10" t="s">
        <v>25</v>
      </c>
      <c r="G10" t="s">
        <v>25</v>
      </c>
      <c r="H10">
        <f t="shared" si="0"/>
        <v>0</v>
      </c>
      <c r="I10" s="5">
        <f t="shared" si="1"/>
        <v>0</v>
      </c>
      <c r="J10" t="s">
        <v>25</v>
      </c>
    </row>
    <row r="11" spans="1:13" x14ac:dyDescent="0.25">
      <c r="A11">
        <v>9</v>
      </c>
      <c r="B11" t="s">
        <v>8</v>
      </c>
      <c r="C11" t="s">
        <v>25</v>
      </c>
      <c r="D11" t="s">
        <v>25</v>
      </c>
      <c r="E11" t="s">
        <v>25</v>
      </c>
      <c r="F11" t="s">
        <v>25</v>
      </c>
      <c r="G11" t="s">
        <v>25</v>
      </c>
      <c r="H11">
        <f t="shared" si="0"/>
        <v>0</v>
      </c>
      <c r="I11" s="5">
        <f t="shared" si="1"/>
        <v>0</v>
      </c>
      <c r="J11" t="s">
        <v>25</v>
      </c>
    </row>
    <row r="12" spans="1:13" x14ac:dyDescent="0.25">
      <c r="A12">
        <v>10</v>
      </c>
      <c r="B12" t="s">
        <v>9</v>
      </c>
      <c r="C12">
        <v>4</v>
      </c>
      <c r="D12">
        <v>2</v>
      </c>
      <c r="E12">
        <v>0</v>
      </c>
      <c r="F12">
        <v>0</v>
      </c>
      <c r="G12">
        <v>0</v>
      </c>
      <c r="H12">
        <f t="shared" si="0"/>
        <v>6</v>
      </c>
      <c r="I12" s="5">
        <f t="shared" si="1"/>
        <v>0.2608695652173913</v>
      </c>
      <c r="J12">
        <f t="shared" si="2"/>
        <v>1</v>
      </c>
    </row>
    <row r="13" spans="1:13" x14ac:dyDescent="0.25">
      <c r="A13">
        <v>11</v>
      </c>
      <c r="B13" t="s">
        <v>10</v>
      </c>
      <c r="C13">
        <v>5</v>
      </c>
      <c r="D13">
        <v>4</v>
      </c>
      <c r="E13">
        <v>2</v>
      </c>
      <c r="F13">
        <v>0</v>
      </c>
      <c r="G13">
        <v>2</v>
      </c>
      <c r="H13">
        <f t="shared" si="0"/>
        <v>13</v>
      </c>
      <c r="I13" s="5">
        <f t="shared" si="1"/>
        <v>0.56521739130434778</v>
      </c>
      <c r="J13">
        <f t="shared" si="2"/>
        <v>3</v>
      </c>
    </row>
    <row r="14" spans="1:13" x14ac:dyDescent="0.25">
      <c r="A14">
        <v>12</v>
      </c>
      <c r="B14" t="s">
        <v>11</v>
      </c>
      <c r="C14">
        <v>5</v>
      </c>
      <c r="D14">
        <v>0</v>
      </c>
      <c r="E14">
        <v>3</v>
      </c>
      <c r="F14">
        <v>0</v>
      </c>
      <c r="G14">
        <v>0</v>
      </c>
      <c r="H14">
        <f t="shared" si="0"/>
        <v>8</v>
      </c>
      <c r="I14" s="5">
        <f t="shared" si="1"/>
        <v>0.34782608695652173</v>
      </c>
      <c r="J14">
        <f t="shared" si="2"/>
        <v>1</v>
      </c>
    </row>
    <row r="15" spans="1:13" x14ac:dyDescent="0.25">
      <c r="A15">
        <v>13</v>
      </c>
      <c r="B15" t="s">
        <v>12</v>
      </c>
      <c r="C15">
        <v>5</v>
      </c>
      <c r="D15">
        <v>4</v>
      </c>
      <c r="E15">
        <v>2</v>
      </c>
      <c r="F15">
        <v>3</v>
      </c>
      <c r="G15">
        <v>-1</v>
      </c>
      <c r="H15">
        <f t="shared" si="0"/>
        <v>13</v>
      </c>
      <c r="I15" s="5">
        <f t="shared" si="1"/>
        <v>0.56521739130434778</v>
      </c>
      <c r="J15">
        <f t="shared" si="2"/>
        <v>3</v>
      </c>
    </row>
    <row r="16" spans="1:13" x14ac:dyDescent="0.25">
      <c r="A16">
        <v>14</v>
      </c>
      <c r="B16" t="s">
        <v>13</v>
      </c>
      <c r="C16">
        <v>5</v>
      </c>
      <c r="D16">
        <v>3</v>
      </c>
      <c r="E16">
        <v>5</v>
      </c>
      <c r="F16">
        <v>5</v>
      </c>
      <c r="G16">
        <v>2</v>
      </c>
      <c r="H16">
        <f t="shared" si="0"/>
        <v>20</v>
      </c>
      <c r="I16" s="5">
        <f t="shared" si="1"/>
        <v>0.86956521739130432</v>
      </c>
      <c r="J16">
        <f t="shared" si="2"/>
        <v>5</v>
      </c>
    </row>
    <row r="17" spans="1:10" x14ac:dyDescent="0.25">
      <c r="A17">
        <v>15</v>
      </c>
      <c r="B17" t="s">
        <v>14</v>
      </c>
      <c r="C17">
        <v>3</v>
      </c>
      <c r="D17">
        <v>2</v>
      </c>
      <c r="E17">
        <v>0</v>
      </c>
      <c r="F17">
        <v>3</v>
      </c>
      <c r="G17">
        <v>-1</v>
      </c>
      <c r="H17">
        <f t="shared" si="0"/>
        <v>7</v>
      </c>
      <c r="I17" s="5">
        <f t="shared" si="1"/>
        <v>0.30434782608695654</v>
      </c>
      <c r="J17">
        <f t="shared" si="2"/>
        <v>1</v>
      </c>
    </row>
    <row r="18" spans="1:10" x14ac:dyDescent="0.25">
      <c r="A18">
        <v>16</v>
      </c>
      <c r="B18" t="s">
        <v>15</v>
      </c>
      <c r="C18">
        <v>0</v>
      </c>
      <c r="D18">
        <v>4</v>
      </c>
      <c r="E18">
        <v>6</v>
      </c>
      <c r="F18">
        <v>0</v>
      </c>
      <c r="G18">
        <v>0</v>
      </c>
      <c r="H18">
        <f t="shared" si="0"/>
        <v>10</v>
      </c>
      <c r="I18" s="5">
        <f t="shared" si="1"/>
        <v>0.43478260869565216</v>
      </c>
      <c r="J18">
        <f t="shared" si="2"/>
        <v>2</v>
      </c>
    </row>
    <row r="19" spans="1:10" x14ac:dyDescent="0.25">
      <c r="A19">
        <v>17</v>
      </c>
      <c r="B19" t="s">
        <v>16</v>
      </c>
      <c r="C19">
        <v>5</v>
      </c>
      <c r="D19">
        <v>2</v>
      </c>
      <c r="E19">
        <v>2</v>
      </c>
      <c r="F19">
        <v>0</v>
      </c>
      <c r="G19">
        <v>-1</v>
      </c>
      <c r="H19">
        <f t="shared" si="0"/>
        <v>8</v>
      </c>
      <c r="I19" s="5">
        <f t="shared" si="1"/>
        <v>0.34782608695652173</v>
      </c>
      <c r="J19">
        <f t="shared" si="2"/>
        <v>1</v>
      </c>
    </row>
    <row r="20" spans="1:10" x14ac:dyDescent="0.25">
      <c r="A20">
        <v>18</v>
      </c>
      <c r="B20" t="s">
        <v>17</v>
      </c>
      <c r="C20">
        <v>0</v>
      </c>
      <c r="D20">
        <v>0</v>
      </c>
      <c r="E20">
        <v>0</v>
      </c>
      <c r="F20">
        <v>0</v>
      </c>
      <c r="G20">
        <v>0</v>
      </c>
      <c r="H20">
        <f t="shared" si="0"/>
        <v>0</v>
      </c>
      <c r="I20" s="5">
        <f t="shared" si="1"/>
        <v>0</v>
      </c>
      <c r="J20">
        <f t="shared" si="2"/>
        <v>1</v>
      </c>
    </row>
    <row r="21" spans="1:10" x14ac:dyDescent="0.25">
      <c r="J21">
        <f>AVERAGE(J3:J20)</f>
        <v>1.6875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7F784-634F-4B20-AF2B-DEE48D745C48}">
  <sheetPr codeName="Munka3"/>
  <dimension ref="A1:Q21"/>
  <sheetViews>
    <sheetView workbookViewId="0">
      <selection activeCell="V17" sqref="V17"/>
    </sheetView>
  </sheetViews>
  <sheetFormatPr defaultRowHeight="15" x14ac:dyDescent="0.25"/>
  <cols>
    <col min="2" max="2" width="20.140625" bestFit="1" customWidth="1"/>
    <col min="3" max="11" width="5.140625" customWidth="1"/>
  </cols>
  <sheetData>
    <row r="1" spans="1:17" ht="30" x14ac:dyDescent="0.25">
      <c r="A1" t="s">
        <v>37</v>
      </c>
      <c r="B1" t="s">
        <v>38</v>
      </c>
      <c r="C1" t="s">
        <v>27</v>
      </c>
      <c r="D1" t="s">
        <v>28</v>
      </c>
      <c r="E1" t="s">
        <v>29</v>
      </c>
      <c r="F1" t="s">
        <v>30</v>
      </c>
      <c r="G1" s="3" t="s">
        <v>31</v>
      </c>
      <c r="H1" s="3" t="s">
        <v>32</v>
      </c>
      <c r="I1" s="3" t="s">
        <v>33</v>
      </c>
      <c r="J1" s="3" t="s">
        <v>34</v>
      </c>
      <c r="K1" s="3" t="s">
        <v>36</v>
      </c>
      <c r="L1" t="s">
        <v>22</v>
      </c>
      <c r="M1" t="s">
        <v>23</v>
      </c>
      <c r="N1" t="s">
        <v>24</v>
      </c>
    </row>
    <row r="2" spans="1:17" x14ac:dyDescent="0.25">
      <c r="A2">
        <v>0</v>
      </c>
      <c r="B2" s="7" t="s">
        <v>35</v>
      </c>
      <c r="C2" s="7">
        <v>2</v>
      </c>
      <c r="D2" s="7">
        <v>5</v>
      </c>
      <c r="E2" s="7">
        <v>4</v>
      </c>
      <c r="F2" s="7">
        <v>4</v>
      </c>
      <c r="G2" s="7">
        <v>1</v>
      </c>
      <c r="H2" s="7">
        <v>4</v>
      </c>
      <c r="I2" s="7">
        <v>3</v>
      </c>
      <c r="J2" s="7">
        <v>1</v>
      </c>
      <c r="K2" s="7">
        <v>0</v>
      </c>
      <c r="L2" s="7">
        <f>SUM(C2:K2)</f>
        <v>24</v>
      </c>
      <c r="M2" s="7"/>
      <c r="N2" s="7"/>
    </row>
    <row r="3" spans="1:17" x14ac:dyDescent="0.25">
      <c r="A3">
        <v>1</v>
      </c>
      <c r="B3" t="s">
        <v>0</v>
      </c>
      <c r="C3">
        <v>2</v>
      </c>
      <c r="D3">
        <v>1</v>
      </c>
      <c r="E3">
        <v>0</v>
      </c>
      <c r="F3">
        <v>1</v>
      </c>
      <c r="G3">
        <v>1</v>
      </c>
      <c r="H3">
        <v>0</v>
      </c>
      <c r="I3">
        <v>0</v>
      </c>
      <c r="J3">
        <v>0</v>
      </c>
      <c r="K3">
        <v>0</v>
      </c>
      <c r="L3">
        <f t="shared" ref="L3:L5" si="0">SUM(C3:K3)</f>
        <v>5</v>
      </c>
      <c r="M3" s="5">
        <f>L3/$L$2</f>
        <v>0.20833333333333334</v>
      </c>
      <c r="N3">
        <f>VLOOKUP(M3,$P$3:$Q$7,2,TRUE)</f>
        <v>1</v>
      </c>
      <c r="P3" s="4">
        <v>0</v>
      </c>
      <c r="Q3">
        <v>1</v>
      </c>
    </row>
    <row r="4" spans="1:17" x14ac:dyDescent="0.25">
      <c r="A4">
        <v>2</v>
      </c>
      <c r="B4" t="s">
        <v>1</v>
      </c>
      <c r="C4">
        <v>2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3</v>
      </c>
      <c r="M4" s="5">
        <f t="shared" ref="M4:M19" si="1">L4/$L$2</f>
        <v>0.125</v>
      </c>
      <c r="N4">
        <f t="shared" ref="N4:N19" si="2">VLOOKUP(M4,$P$3:$Q$7,2,TRUE)</f>
        <v>1</v>
      </c>
      <c r="P4" s="4">
        <v>0.4</v>
      </c>
      <c r="Q4">
        <v>2</v>
      </c>
    </row>
    <row r="5" spans="1:17" x14ac:dyDescent="0.25">
      <c r="A5">
        <v>3</v>
      </c>
      <c r="B5" t="s">
        <v>2</v>
      </c>
      <c r="C5">
        <v>2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-1</v>
      </c>
      <c r="L5">
        <f t="shared" si="0"/>
        <v>4</v>
      </c>
      <c r="M5" s="5">
        <f t="shared" si="1"/>
        <v>0.16666666666666666</v>
      </c>
      <c r="N5">
        <f t="shared" si="2"/>
        <v>1</v>
      </c>
      <c r="P5" s="4">
        <v>0.55000000000000004</v>
      </c>
      <c r="Q5">
        <v>3</v>
      </c>
    </row>
    <row r="6" spans="1:17" x14ac:dyDescent="0.25">
      <c r="A6">
        <v>4</v>
      </c>
      <c r="B6" s="8" t="s">
        <v>3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L6" t="s">
        <v>25</v>
      </c>
      <c r="M6" s="5" t="s">
        <v>25</v>
      </c>
      <c r="N6" t="s">
        <v>25</v>
      </c>
      <c r="P6" s="4">
        <v>0.7</v>
      </c>
      <c r="Q6">
        <v>4</v>
      </c>
    </row>
    <row r="7" spans="1:17" x14ac:dyDescent="0.25">
      <c r="A7">
        <v>5</v>
      </c>
      <c r="B7" t="s">
        <v>4</v>
      </c>
      <c r="C7">
        <v>2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ref="L7:L11" si="3">SUM(C7:K7)</f>
        <v>6</v>
      </c>
      <c r="M7" s="5">
        <f t="shared" si="1"/>
        <v>0.25</v>
      </c>
      <c r="N7">
        <f t="shared" si="2"/>
        <v>1</v>
      </c>
      <c r="P7" s="4">
        <v>0.85</v>
      </c>
      <c r="Q7">
        <v>5</v>
      </c>
    </row>
    <row r="8" spans="1:17" x14ac:dyDescent="0.25">
      <c r="A8">
        <v>6</v>
      </c>
      <c r="B8" t="s">
        <v>5</v>
      </c>
      <c r="C8">
        <v>0</v>
      </c>
      <c r="D8">
        <v>0</v>
      </c>
      <c r="E8">
        <v>0</v>
      </c>
      <c r="F8">
        <v>0</v>
      </c>
      <c r="G8">
        <v>1</v>
      </c>
      <c r="H8">
        <v>1</v>
      </c>
      <c r="I8">
        <v>0</v>
      </c>
      <c r="J8">
        <v>0</v>
      </c>
      <c r="K8">
        <v>0</v>
      </c>
      <c r="L8">
        <f t="shared" si="3"/>
        <v>2</v>
      </c>
      <c r="M8" s="5">
        <f t="shared" si="1"/>
        <v>8.3333333333333329E-2</v>
      </c>
      <c r="N8">
        <f t="shared" si="2"/>
        <v>1</v>
      </c>
    </row>
    <row r="9" spans="1:17" x14ac:dyDescent="0.25">
      <c r="A9">
        <v>7</v>
      </c>
      <c r="B9" t="s">
        <v>6</v>
      </c>
      <c r="C9">
        <v>2</v>
      </c>
      <c r="D9">
        <v>1</v>
      </c>
      <c r="E9">
        <v>0</v>
      </c>
      <c r="F9" s="6">
        <v>0</v>
      </c>
      <c r="G9" s="6">
        <v>1</v>
      </c>
      <c r="H9" s="6">
        <v>0</v>
      </c>
      <c r="I9" s="6">
        <v>0</v>
      </c>
      <c r="J9" s="6">
        <v>0</v>
      </c>
      <c r="K9" s="6">
        <v>0</v>
      </c>
      <c r="L9" s="6">
        <f t="shared" si="3"/>
        <v>4</v>
      </c>
      <c r="M9" s="5">
        <f t="shared" si="1"/>
        <v>0.16666666666666666</v>
      </c>
      <c r="N9">
        <f t="shared" si="2"/>
        <v>1</v>
      </c>
    </row>
    <row r="10" spans="1:17" x14ac:dyDescent="0.25">
      <c r="A10">
        <v>8</v>
      </c>
      <c r="B10" t="s">
        <v>7</v>
      </c>
      <c r="C10">
        <v>2</v>
      </c>
      <c r="D10">
        <v>5</v>
      </c>
      <c r="E10">
        <v>4</v>
      </c>
      <c r="F10">
        <v>4</v>
      </c>
      <c r="G10">
        <v>1</v>
      </c>
      <c r="H10">
        <v>0</v>
      </c>
      <c r="I10">
        <v>0</v>
      </c>
      <c r="J10">
        <v>1</v>
      </c>
      <c r="K10">
        <v>0</v>
      </c>
      <c r="L10">
        <f t="shared" si="3"/>
        <v>17</v>
      </c>
      <c r="M10" s="5">
        <f t="shared" si="1"/>
        <v>0.70833333333333337</v>
      </c>
      <c r="N10">
        <f t="shared" si="2"/>
        <v>4</v>
      </c>
    </row>
    <row r="11" spans="1:17" x14ac:dyDescent="0.25">
      <c r="A11">
        <v>9</v>
      </c>
      <c r="B11" t="s">
        <v>8</v>
      </c>
      <c r="C11">
        <v>2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3"/>
        <v>3</v>
      </c>
      <c r="M11" s="5">
        <f t="shared" si="1"/>
        <v>0.125</v>
      </c>
      <c r="N11">
        <f t="shared" si="2"/>
        <v>1</v>
      </c>
    </row>
    <row r="12" spans="1:17" x14ac:dyDescent="0.25">
      <c r="A12">
        <v>10</v>
      </c>
      <c r="B12" s="8" t="s">
        <v>9</v>
      </c>
      <c r="C12" t="s">
        <v>25</v>
      </c>
      <c r="D12" t="s">
        <v>25</v>
      </c>
      <c r="E12" t="s">
        <v>25</v>
      </c>
      <c r="F12" t="s">
        <v>25</v>
      </c>
      <c r="G12" t="s">
        <v>25</v>
      </c>
      <c r="H12" t="s">
        <v>25</v>
      </c>
      <c r="I12" t="s">
        <v>25</v>
      </c>
      <c r="J12" t="s">
        <v>25</v>
      </c>
      <c r="L12" t="s">
        <v>25</v>
      </c>
      <c r="M12" s="5" t="s">
        <v>25</v>
      </c>
      <c r="N12" t="s">
        <v>25</v>
      </c>
    </row>
    <row r="13" spans="1:17" x14ac:dyDescent="0.25">
      <c r="A13">
        <v>11</v>
      </c>
      <c r="B13" t="s">
        <v>10</v>
      </c>
      <c r="C13">
        <v>2</v>
      </c>
      <c r="D13">
        <v>5</v>
      </c>
      <c r="E13">
        <v>1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f t="shared" ref="L13:L17" si="4">SUM(C13:K13)</f>
        <v>9</v>
      </c>
      <c r="M13" s="5">
        <f t="shared" si="1"/>
        <v>0.375</v>
      </c>
      <c r="N13">
        <f t="shared" si="2"/>
        <v>1</v>
      </c>
    </row>
    <row r="14" spans="1:17" x14ac:dyDescent="0.25">
      <c r="A14">
        <v>12</v>
      </c>
      <c r="B14" t="s">
        <v>11</v>
      </c>
      <c r="C14">
        <v>2</v>
      </c>
      <c r="D14">
        <v>3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f t="shared" si="4"/>
        <v>6</v>
      </c>
      <c r="M14" s="5">
        <f t="shared" si="1"/>
        <v>0.25</v>
      </c>
      <c r="N14">
        <f t="shared" si="2"/>
        <v>1</v>
      </c>
    </row>
    <row r="15" spans="1:17" x14ac:dyDescent="0.25">
      <c r="A15">
        <v>13</v>
      </c>
      <c r="B15" t="s">
        <v>12</v>
      </c>
      <c r="C15">
        <v>2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4"/>
        <v>4</v>
      </c>
      <c r="M15" s="5">
        <f t="shared" si="1"/>
        <v>0.16666666666666666</v>
      </c>
      <c r="N15">
        <f t="shared" si="2"/>
        <v>1</v>
      </c>
    </row>
    <row r="16" spans="1:17" x14ac:dyDescent="0.25">
      <c r="A16">
        <v>14</v>
      </c>
      <c r="B16" t="s">
        <v>13</v>
      </c>
      <c r="C16" s="6">
        <v>2</v>
      </c>
      <c r="D16" s="6">
        <v>5</v>
      </c>
      <c r="E16" s="6">
        <v>4</v>
      </c>
      <c r="F16" s="6">
        <v>4</v>
      </c>
      <c r="G16" s="6">
        <v>1</v>
      </c>
      <c r="H16" s="6">
        <v>0.4</v>
      </c>
      <c r="I16" s="6">
        <v>3</v>
      </c>
      <c r="J16" s="6">
        <v>1</v>
      </c>
      <c r="K16" s="6">
        <v>0</v>
      </c>
      <c r="L16" s="6">
        <f t="shared" si="4"/>
        <v>20.399999999999999</v>
      </c>
      <c r="M16" s="5">
        <f t="shared" si="1"/>
        <v>0.85</v>
      </c>
      <c r="N16">
        <f t="shared" si="2"/>
        <v>5</v>
      </c>
    </row>
    <row r="17" spans="1:14" x14ac:dyDescent="0.25">
      <c r="A17">
        <v>15</v>
      </c>
      <c r="B17" t="s">
        <v>14</v>
      </c>
      <c r="C17">
        <v>2</v>
      </c>
      <c r="D17">
        <v>2</v>
      </c>
      <c r="E17">
        <v>3</v>
      </c>
      <c r="F17">
        <v>0</v>
      </c>
      <c r="G17">
        <v>1</v>
      </c>
      <c r="H17">
        <v>0</v>
      </c>
      <c r="I17">
        <v>0</v>
      </c>
      <c r="J17">
        <v>0</v>
      </c>
      <c r="K17">
        <v>-1</v>
      </c>
      <c r="L17">
        <f t="shared" si="4"/>
        <v>7</v>
      </c>
      <c r="M17" s="5">
        <f t="shared" si="1"/>
        <v>0.29166666666666669</v>
      </c>
      <c r="N17">
        <f t="shared" si="2"/>
        <v>1</v>
      </c>
    </row>
    <row r="18" spans="1:14" x14ac:dyDescent="0.25">
      <c r="A18">
        <v>16</v>
      </c>
      <c r="B18" s="8" t="s">
        <v>15</v>
      </c>
      <c r="C18" t="s">
        <v>25</v>
      </c>
      <c r="D18" t="s">
        <v>25</v>
      </c>
      <c r="E18" t="s">
        <v>25</v>
      </c>
      <c r="F18" t="s">
        <v>25</v>
      </c>
      <c r="G18" t="s">
        <v>25</v>
      </c>
      <c r="H18" t="s">
        <v>25</v>
      </c>
      <c r="I18" t="s">
        <v>25</v>
      </c>
      <c r="J18" t="s">
        <v>25</v>
      </c>
      <c r="L18" t="s">
        <v>25</v>
      </c>
      <c r="M18" s="5" t="s">
        <v>25</v>
      </c>
      <c r="N18" t="s">
        <v>25</v>
      </c>
    </row>
    <row r="19" spans="1:14" x14ac:dyDescent="0.25">
      <c r="A19">
        <v>17</v>
      </c>
      <c r="B19" t="s">
        <v>16</v>
      </c>
      <c r="C19">
        <v>2</v>
      </c>
      <c r="D19">
        <v>5</v>
      </c>
      <c r="E19">
        <v>4</v>
      </c>
      <c r="F19">
        <v>0</v>
      </c>
      <c r="G19">
        <v>1</v>
      </c>
      <c r="H19">
        <v>0</v>
      </c>
      <c r="I19">
        <v>3</v>
      </c>
      <c r="J19">
        <v>1</v>
      </c>
      <c r="K19">
        <v>0</v>
      </c>
      <c r="L19">
        <f>SUM(C19:K19)</f>
        <v>16</v>
      </c>
      <c r="M19" s="5">
        <f t="shared" si="1"/>
        <v>0.66666666666666663</v>
      </c>
      <c r="N19">
        <f t="shared" si="2"/>
        <v>3</v>
      </c>
    </row>
    <row r="20" spans="1:14" x14ac:dyDescent="0.25">
      <c r="A20">
        <v>18</v>
      </c>
      <c r="B20" s="8" t="s">
        <v>17</v>
      </c>
      <c r="C20" t="s">
        <v>25</v>
      </c>
      <c r="D20" t="s">
        <v>25</v>
      </c>
      <c r="E20" t="s">
        <v>25</v>
      </c>
      <c r="F20" t="s">
        <v>25</v>
      </c>
      <c r="G20" t="s">
        <v>25</v>
      </c>
      <c r="H20" t="s">
        <v>25</v>
      </c>
      <c r="I20" t="s">
        <v>25</v>
      </c>
      <c r="J20" t="s">
        <v>25</v>
      </c>
      <c r="L20" t="s">
        <v>25</v>
      </c>
      <c r="M20" s="5" t="s">
        <v>25</v>
      </c>
      <c r="N20" t="s">
        <v>25</v>
      </c>
    </row>
    <row r="21" spans="1:14" x14ac:dyDescent="0.25">
      <c r="N21">
        <f>AVERAGE(N3:N20)</f>
        <v>1.6428571428571428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ExportStudentsToFiles3">
                <anchor moveWithCells="1" sizeWithCells="1">
                  <from>
                    <xdr:col>16</xdr:col>
                    <xdr:colOff>323850</xdr:colOff>
                    <xdr:row>11</xdr:row>
                    <xdr:rowOff>66675</xdr:rowOff>
                  </from>
                  <to>
                    <xdr:col>19</xdr:col>
                    <xdr:colOff>419100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77652-1FE2-4FD0-A581-6E05B085EB28}">
  <sheetPr codeName="Munka6"/>
  <dimension ref="A1:Q28"/>
  <sheetViews>
    <sheetView topLeftCell="A22" workbookViewId="0">
      <selection activeCell="K33" sqref="K33"/>
    </sheetView>
  </sheetViews>
  <sheetFormatPr defaultRowHeight="15" x14ac:dyDescent="0.25"/>
  <cols>
    <col min="2" max="2" width="20.140625" bestFit="1" customWidth="1"/>
    <col min="3" max="11" width="5.140625" customWidth="1"/>
  </cols>
  <sheetData>
    <row r="1" spans="1:17" ht="30" x14ac:dyDescent="0.25">
      <c r="A1" t="s">
        <v>37</v>
      </c>
      <c r="B1" t="s">
        <v>38</v>
      </c>
      <c r="C1" t="s">
        <v>27</v>
      </c>
      <c r="D1" t="s">
        <v>28</v>
      </c>
      <c r="E1" t="s">
        <v>29</v>
      </c>
      <c r="F1" t="s">
        <v>30</v>
      </c>
      <c r="G1" s="3" t="s">
        <v>31</v>
      </c>
      <c r="H1" s="3" t="s">
        <v>32</v>
      </c>
      <c r="I1" s="3" t="s">
        <v>33</v>
      </c>
      <c r="J1" s="3" t="s">
        <v>34</v>
      </c>
      <c r="K1" s="3" t="s">
        <v>36</v>
      </c>
      <c r="L1" t="s">
        <v>22</v>
      </c>
      <c r="M1" t="s">
        <v>23</v>
      </c>
      <c r="N1" t="s">
        <v>24</v>
      </c>
    </row>
    <row r="2" spans="1:17" x14ac:dyDescent="0.25">
      <c r="A2">
        <v>0</v>
      </c>
      <c r="B2" s="7" t="s">
        <v>35</v>
      </c>
      <c r="C2" s="7">
        <v>2</v>
      </c>
      <c r="D2" s="7">
        <v>5</v>
      </c>
      <c r="E2" s="7">
        <v>4</v>
      </c>
      <c r="F2" s="7">
        <v>4</v>
      </c>
      <c r="G2" s="7">
        <v>1</v>
      </c>
      <c r="H2" s="7">
        <v>4</v>
      </c>
      <c r="I2" s="7">
        <v>3</v>
      </c>
      <c r="J2" s="7">
        <v>1</v>
      </c>
      <c r="K2" s="7">
        <v>0</v>
      </c>
      <c r="L2" s="7">
        <f>SUM(C2:K2)</f>
        <v>24</v>
      </c>
      <c r="M2" s="7"/>
      <c r="N2" s="7"/>
    </row>
    <row r="3" spans="1:17" x14ac:dyDescent="0.25">
      <c r="A3">
        <v>1</v>
      </c>
      <c r="B3" t="s">
        <v>0</v>
      </c>
      <c r="C3">
        <v>2</v>
      </c>
      <c r="D3">
        <v>1</v>
      </c>
      <c r="E3">
        <v>0</v>
      </c>
      <c r="F3">
        <v>1</v>
      </c>
      <c r="G3">
        <v>1</v>
      </c>
      <c r="H3">
        <v>0</v>
      </c>
      <c r="I3">
        <v>0</v>
      </c>
      <c r="J3">
        <v>0</v>
      </c>
      <c r="K3">
        <v>0</v>
      </c>
      <c r="L3">
        <f t="shared" ref="L3:L5" si="0">SUM(C3:K3)</f>
        <v>5</v>
      </c>
      <c r="M3" s="5">
        <f>L3/$L$2</f>
        <v>0.20833333333333334</v>
      </c>
      <c r="N3">
        <f>VLOOKUP(M3,$P$3:$Q$7,2,TRUE)</f>
        <v>1</v>
      </c>
      <c r="P3" s="4">
        <v>0</v>
      </c>
      <c r="Q3">
        <v>1</v>
      </c>
    </row>
    <row r="4" spans="1:17" x14ac:dyDescent="0.25">
      <c r="A4">
        <v>2</v>
      </c>
      <c r="B4" t="s">
        <v>1</v>
      </c>
      <c r="C4">
        <v>2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3</v>
      </c>
      <c r="M4" s="5">
        <f t="shared" ref="M4:M19" si="1">L4/$L$2</f>
        <v>0.125</v>
      </c>
      <c r="N4">
        <f t="shared" ref="N4:N19" si="2">VLOOKUP(M4,$P$3:$Q$7,2,TRUE)</f>
        <v>1</v>
      </c>
      <c r="P4" s="4">
        <v>0.4</v>
      </c>
      <c r="Q4">
        <v>2</v>
      </c>
    </row>
    <row r="5" spans="1:17" x14ac:dyDescent="0.25">
      <c r="A5">
        <v>3</v>
      </c>
      <c r="B5" t="s">
        <v>2</v>
      </c>
      <c r="C5">
        <v>2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-1</v>
      </c>
      <c r="L5">
        <f t="shared" si="0"/>
        <v>4</v>
      </c>
      <c r="M5" s="5">
        <f t="shared" si="1"/>
        <v>0.16666666666666666</v>
      </c>
      <c r="N5">
        <f t="shared" si="2"/>
        <v>1</v>
      </c>
      <c r="P5" s="4">
        <v>0.55000000000000004</v>
      </c>
      <c r="Q5">
        <v>3</v>
      </c>
    </row>
    <row r="6" spans="1:17" x14ac:dyDescent="0.25">
      <c r="A6">
        <v>4</v>
      </c>
      <c r="B6" s="9" t="s">
        <v>3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L6" t="s">
        <v>25</v>
      </c>
      <c r="M6" s="5" t="s">
        <v>25</v>
      </c>
      <c r="N6" t="s">
        <v>25</v>
      </c>
      <c r="P6" s="4">
        <v>0.7</v>
      </c>
      <c r="Q6">
        <v>4</v>
      </c>
    </row>
    <row r="7" spans="1:17" x14ac:dyDescent="0.25">
      <c r="A7">
        <v>5</v>
      </c>
      <c r="B7" t="s">
        <v>4</v>
      </c>
      <c r="C7">
        <v>2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ref="L7:L11" si="3">SUM(C7:K7)</f>
        <v>6</v>
      </c>
      <c r="M7" s="5">
        <f t="shared" si="1"/>
        <v>0.25</v>
      </c>
      <c r="N7">
        <f t="shared" si="2"/>
        <v>1</v>
      </c>
      <c r="P7" s="4">
        <v>0.85</v>
      </c>
      <c r="Q7">
        <v>5</v>
      </c>
    </row>
    <row r="8" spans="1:17" x14ac:dyDescent="0.25">
      <c r="A8">
        <v>6</v>
      </c>
      <c r="B8" t="s">
        <v>5</v>
      </c>
      <c r="C8">
        <v>0</v>
      </c>
      <c r="D8">
        <v>0</v>
      </c>
      <c r="E8">
        <v>0</v>
      </c>
      <c r="F8">
        <v>0</v>
      </c>
      <c r="G8">
        <v>1</v>
      </c>
      <c r="H8">
        <v>1</v>
      </c>
      <c r="I8">
        <v>0</v>
      </c>
      <c r="J8">
        <v>0</v>
      </c>
      <c r="K8">
        <v>0</v>
      </c>
      <c r="L8">
        <f t="shared" si="3"/>
        <v>2</v>
      </c>
      <c r="M8" s="5">
        <f t="shared" si="1"/>
        <v>8.3333333333333329E-2</v>
      </c>
      <c r="N8">
        <f t="shared" si="2"/>
        <v>1</v>
      </c>
    </row>
    <row r="9" spans="1:17" x14ac:dyDescent="0.25">
      <c r="A9">
        <v>7</v>
      </c>
      <c r="B9" t="s">
        <v>6</v>
      </c>
      <c r="C9">
        <v>2</v>
      </c>
      <c r="D9">
        <v>1</v>
      </c>
      <c r="E9">
        <v>0</v>
      </c>
      <c r="F9" s="6">
        <v>0</v>
      </c>
      <c r="G9" s="6">
        <v>1</v>
      </c>
      <c r="H9" s="6">
        <v>0</v>
      </c>
      <c r="I9" s="6">
        <v>0</v>
      </c>
      <c r="J9" s="6">
        <v>0</v>
      </c>
      <c r="K9" s="6">
        <v>0</v>
      </c>
      <c r="L9" s="6">
        <f t="shared" si="3"/>
        <v>4</v>
      </c>
      <c r="M9" s="5">
        <f t="shared" si="1"/>
        <v>0.16666666666666666</v>
      </c>
      <c r="N9">
        <f t="shared" si="2"/>
        <v>1</v>
      </c>
    </row>
    <row r="10" spans="1:17" x14ac:dyDescent="0.25">
      <c r="A10">
        <v>8</v>
      </c>
      <c r="B10" t="s">
        <v>7</v>
      </c>
      <c r="C10">
        <v>2</v>
      </c>
      <c r="D10">
        <v>5</v>
      </c>
      <c r="E10">
        <v>4</v>
      </c>
      <c r="F10">
        <v>4</v>
      </c>
      <c r="G10">
        <v>1</v>
      </c>
      <c r="H10">
        <v>0</v>
      </c>
      <c r="I10">
        <v>0</v>
      </c>
      <c r="J10">
        <v>1</v>
      </c>
      <c r="K10">
        <v>0</v>
      </c>
      <c r="L10">
        <f t="shared" si="3"/>
        <v>17</v>
      </c>
      <c r="M10" s="5">
        <f t="shared" si="1"/>
        <v>0.70833333333333337</v>
      </c>
      <c r="N10">
        <f t="shared" si="2"/>
        <v>4</v>
      </c>
    </row>
    <row r="11" spans="1:17" x14ac:dyDescent="0.25">
      <c r="A11">
        <v>9</v>
      </c>
      <c r="B11" t="s">
        <v>8</v>
      </c>
      <c r="C11">
        <v>2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3"/>
        <v>3</v>
      </c>
      <c r="M11" s="5">
        <f t="shared" si="1"/>
        <v>0.125</v>
      </c>
      <c r="N11">
        <f t="shared" si="2"/>
        <v>1</v>
      </c>
    </row>
    <row r="12" spans="1:17" x14ac:dyDescent="0.25">
      <c r="A12">
        <v>10</v>
      </c>
      <c r="B12" s="9" t="s">
        <v>9</v>
      </c>
      <c r="C12" t="s">
        <v>25</v>
      </c>
      <c r="D12" t="s">
        <v>25</v>
      </c>
      <c r="E12" t="s">
        <v>25</v>
      </c>
      <c r="F12" t="s">
        <v>25</v>
      </c>
      <c r="G12" t="s">
        <v>25</v>
      </c>
      <c r="H12" t="s">
        <v>25</v>
      </c>
      <c r="I12" t="s">
        <v>25</v>
      </c>
      <c r="J12" t="s">
        <v>25</v>
      </c>
      <c r="L12" t="s">
        <v>25</v>
      </c>
      <c r="M12" s="5" t="s">
        <v>25</v>
      </c>
      <c r="N12" t="s">
        <v>25</v>
      </c>
    </row>
    <row r="13" spans="1:17" x14ac:dyDescent="0.25">
      <c r="A13">
        <v>11</v>
      </c>
      <c r="B13" t="s">
        <v>10</v>
      </c>
      <c r="C13">
        <v>2</v>
      </c>
      <c r="D13">
        <v>5</v>
      </c>
      <c r="E13">
        <v>1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f t="shared" ref="L13:L17" si="4">SUM(C13:K13)</f>
        <v>9</v>
      </c>
      <c r="M13" s="5">
        <f t="shared" si="1"/>
        <v>0.375</v>
      </c>
      <c r="N13">
        <f t="shared" si="2"/>
        <v>1</v>
      </c>
    </row>
    <row r="14" spans="1:17" x14ac:dyDescent="0.25">
      <c r="A14">
        <v>12</v>
      </c>
      <c r="B14" t="s">
        <v>11</v>
      </c>
      <c r="C14">
        <v>2</v>
      </c>
      <c r="D14">
        <v>3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f t="shared" si="4"/>
        <v>6</v>
      </c>
      <c r="M14" s="5">
        <f t="shared" si="1"/>
        <v>0.25</v>
      </c>
      <c r="N14">
        <f t="shared" si="2"/>
        <v>1</v>
      </c>
    </row>
    <row r="15" spans="1:17" x14ac:dyDescent="0.25">
      <c r="A15">
        <v>13</v>
      </c>
      <c r="B15" t="s">
        <v>12</v>
      </c>
      <c r="C15">
        <v>2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4"/>
        <v>4</v>
      </c>
      <c r="M15" s="5">
        <f t="shared" si="1"/>
        <v>0.16666666666666666</v>
      </c>
      <c r="N15">
        <f t="shared" si="2"/>
        <v>1</v>
      </c>
    </row>
    <row r="16" spans="1:17" x14ac:dyDescent="0.25">
      <c r="A16">
        <v>14</v>
      </c>
      <c r="B16" t="s">
        <v>13</v>
      </c>
      <c r="C16" s="6">
        <v>2</v>
      </c>
      <c r="D16" s="6">
        <v>5</v>
      </c>
      <c r="E16" s="6">
        <v>4</v>
      </c>
      <c r="F16" s="6">
        <v>4</v>
      </c>
      <c r="G16" s="6">
        <v>1</v>
      </c>
      <c r="H16" s="6">
        <v>0.4</v>
      </c>
      <c r="I16" s="6">
        <v>3</v>
      </c>
      <c r="J16" s="6">
        <v>1</v>
      </c>
      <c r="K16" s="6">
        <v>0</v>
      </c>
      <c r="L16" s="6">
        <f t="shared" si="4"/>
        <v>20.399999999999999</v>
      </c>
      <c r="M16" s="5">
        <f t="shared" si="1"/>
        <v>0.85</v>
      </c>
      <c r="N16">
        <f t="shared" si="2"/>
        <v>5</v>
      </c>
    </row>
    <row r="17" spans="1:14" x14ac:dyDescent="0.25">
      <c r="A17">
        <v>15</v>
      </c>
      <c r="B17" t="s">
        <v>14</v>
      </c>
      <c r="C17">
        <v>2</v>
      </c>
      <c r="D17">
        <v>2</v>
      </c>
      <c r="E17">
        <v>3</v>
      </c>
      <c r="F17">
        <v>0</v>
      </c>
      <c r="G17">
        <v>1</v>
      </c>
      <c r="H17">
        <v>0</v>
      </c>
      <c r="I17">
        <v>0</v>
      </c>
      <c r="J17">
        <v>0</v>
      </c>
      <c r="K17">
        <v>-1</v>
      </c>
      <c r="L17">
        <f t="shared" si="4"/>
        <v>7</v>
      </c>
      <c r="M17" s="5">
        <f t="shared" si="1"/>
        <v>0.29166666666666669</v>
      </c>
      <c r="N17">
        <f t="shared" si="2"/>
        <v>1</v>
      </c>
    </row>
    <row r="18" spans="1:14" x14ac:dyDescent="0.25">
      <c r="A18">
        <v>16</v>
      </c>
      <c r="B18" s="9" t="s">
        <v>15</v>
      </c>
      <c r="C18" t="s">
        <v>25</v>
      </c>
      <c r="D18" t="s">
        <v>25</v>
      </c>
      <c r="E18" t="s">
        <v>25</v>
      </c>
      <c r="F18" t="s">
        <v>25</v>
      </c>
      <c r="G18" t="s">
        <v>25</v>
      </c>
      <c r="H18" t="s">
        <v>25</v>
      </c>
      <c r="I18" t="s">
        <v>25</v>
      </c>
      <c r="J18" t="s">
        <v>25</v>
      </c>
      <c r="L18" t="s">
        <v>25</v>
      </c>
      <c r="M18" s="5" t="s">
        <v>25</v>
      </c>
      <c r="N18" t="s">
        <v>25</v>
      </c>
    </row>
    <row r="19" spans="1:14" x14ac:dyDescent="0.25">
      <c r="A19">
        <v>17</v>
      </c>
      <c r="B19" t="s">
        <v>16</v>
      </c>
      <c r="C19">
        <v>2</v>
      </c>
      <c r="D19">
        <v>5</v>
      </c>
      <c r="E19">
        <v>4</v>
      </c>
      <c r="F19">
        <v>0</v>
      </c>
      <c r="G19">
        <v>1</v>
      </c>
      <c r="H19">
        <v>0</v>
      </c>
      <c r="I19">
        <v>3</v>
      </c>
      <c r="J19">
        <v>1</v>
      </c>
      <c r="K19">
        <v>0</v>
      </c>
      <c r="L19">
        <f>SUM(C19:K19)</f>
        <v>16</v>
      </c>
      <c r="M19" s="5">
        <f t="shared" si="1"/>
        <v>0.66666666666666663</v>
      </c>
      <c r="N19">
        <f t="shared" si="2"/>
        <v>3</v>
      </c>
    </row>
    <row r="20" spans="1:14" x14ac:dyDescent="0.25">
      <c r="A20">
        <v>18</v>
      </c>
      <c r="B20" s="9" t="s">
        <v>17</v>
      </c>
      <c r="C20" t="s">
        <v>25</v>
      </c>
      <c r="D20" t="s">
        <v>25</v>
      </c>
      <c r="E20" t="s">
        <v>25</v>
      </c>
      <c r="F20" t="s">
        <v>25</v>
      </c>
      <c r="G20" t="s">
        <v>25</v>
      </c>
      <c r="H20" t="s">
        <v>25</v>
      </c>
      <c r="I20" t="s">
        <v>25</v>
      </c>
      <c r="J20" t="s">
        <v>25</v>
      </c>
      <c r="L20" t="s">
        <v>25</v>
      </c>
      <c r="M20" s="5" t="s">
        <v>25</v>
      </c>
      <c r="N20" t="s">
        <v>25</v>
      </c>
    </row>
    <row r="21" spans="1:14" x14ac:dyDescent="0.25">
      <c r="B21" s="9"/>
      <c r="M21" s="5"/>
      <c r="N21">
        <f>AVERAGE(N3:N20)</f>
        <v>1.6428571428571428</v>
      </c>
    </row>
    <row r="22" spans="1:14" x14ac:dyDescent="0.25">
      <c r="B22" s="9"/>
      <c r="M22" s="5"/>
    </row>
    <row r="23" spans="1:14" x14ac:dyDescent="0.25">
      <c r="C23" t="s">
        <v>27</v>
      </c>
      <c r="D23" t="s">
        <v>28</v>
      </c>
      <c r="E23" t="s">
        <v>29</v>
      </c>
      <c r="F23" t="s">
        <v>30</v>
      </c>
      <c r="G23" t="s">
        <v>31</v>
      </c>
      <c r="H23" t="s">
        <v>32</v>
      </c>
      <c r="I23" t="s">
        <v>33</v>
      </c>
      <c r="J23" t="s">
        <v>34</v>
      </c>
    </row>
    <row r="24" spans="1:14" x14ac:dyDescent="0.25">
      <c r="C24">
        <v>3</v>
      </c>
      <c r="D24">
        <v>5</v>
      </c>
      <c r="E24">
        <v>4</v>
      </c>
      <c r="F24">
        <v>4</v>
      </c>
      <c r="G24">
        <v>1</v>
      </c>
      <c r="H24">
        <v>5</v>
      </c>
      <c r="I24">
        <v>3</v>
      </c>
      <c r="J24">
        <v>2</v>
      </c>
      <c r="L24">
        <f>SUM(C24:K24)</f>
        <v>27</v>
      </c>
      <c r="M24" s="5"/>
    </row>
    <row r="25" spans="1:14" x14ac:dyDescent="0.25">
      <c r="B25" s="9" t="s">
        <v>3</v>
      </c>
      <c r="C25">
        <v>2</v>
      </c>
      <c r="D25">
        <v>3</v>
      </c>
      <c r="E25">
        <v>0</v>
      </c>
      <c r="F25">
        <v>0</v>
      </c>
      <c r="G25">
        <v>1</v>
      </c>
      <c r="H25">
        <v>1</v>
      </c>
      <c r="I25">
        <v>0</v>
      </c>
      <c r="J25">
        <v>0</v>
      </c>
      <c r="L25">
        <f>SUM(C25:K25)</f>
        <v>7</v>
      </c>
      <c r="M25" s="5">
        <f>L25/$L$24</f>
        <v>0.25925925925925924</v>
      </c>
      <c r="N25">
        <f t="shared" ref="N25" si="5">VLOOKUP(M25,$P$3:$Q$7,2,TRUE)</f>
        <v>1</v>
      </c>
    </row>
    <row r="26" spans="1:14" x14ac:dyDescent="0.25">
      <c r="B26" s="9" t="s">
        <v>9</v>
      </c>
      <c r="C26">
        <v>2</v>
      </c>
      <c r="D26">
        <v>3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L26">
        <f t="shared" ref="L26:L28" si="6">SUM(C26:K26)</f>
        <v>6</v>
      </c>
      <c r="M26" s="5">
        <f t="shared" ref="M26:M28" si="7">L26/$L$24</f>
        <v>0.22222222222222221</v>
      </c>
      <c r="N26">
        <f t="shared" ref="N26:N28" si="8">VLOOKUP(M26,$P$3:$Q$7,2,TRUE)</f>
        <v>1</v>
      </c>
    </row>
    <row r="27" spans="1:14" x14ac:dyDescent="0.25">
      <c r="B27" s="9" t="s">
        <v>15</v>
      </c>
      <c r="C27">
        <v>2</v>
      </c>
      <c r="D27">
        <v>1</v>
      </c>
      <c r="E27">
        <v>0</v>
      </c>
      <c r="F27">
        <v>0</v>
      </c>
      <c r="G27">
        <v>1</v>
      </c>
      <c r="H27">
        <v>0</v>
      </c>
      <c r="I27">
        <v>1</v>
      </c>
      <c r="J27">
        <v>2</v>
      </c>
      <c r="L27">
        <f t="shared" si="6"/>
        <v>7</v>
      </c>
      <c r="M27" s="5">
        <f t="shared" si="7"/>
        <v>0.25925925925925924</v>
      </c>
      <c r="N27">
        <f t="shared" si="8"/>
        <v>1</v>
      </c>
    </row>
    <row r="28" spans="1:14" x14ac:dyDescent="0.25">
      <c r="B28" s="9" t="s">
        <v>17</v>
      </c>
      <c r="C28">
        <v>2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>
        <v>0</v>
      </c>
      <c r="L28">
        <f t="shared" si="6"/>
        <v>3</v>
      </c>
      <c r="M28" s="5">
        <f t="shared" si="7"/>
        <v>0.1111111111111111</v>
      </c>
      <c r="N28">
        <f t="shared" si="8"/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StudentsToFiles3">
                <anchor moveWithCells="1" sizeWithCells="1">
                  <from>
                    <xdr:col>16</xdr:col>
                    <xdr:colOff>323850</xdr:colOff>
                    <xdr:row>11</xdr:row>
                    <xdr:rowOff>66675</xdr:rowOff>
                  </from>
                  <to>
                    <xdr:col>19</xdr:col>
                    <xdr:colOff>419100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552C-37AD-464B-8FE4-AFF9DD473EB9}">
  <sheetPr codeName="Munka7"/>
  <dimension ref="A1:L21"/>
  <sheetViews>
    <sheetView zoomScale="160" zoomScaleNormal="160" workbookViewId="0">
      <selection activeCell="K13" sqref="K13"/>
    </sheetView>
  </sheetViews>
  <sheetFormatPr defaultRowHeight="15" x14ac:dyDescent="0.25"/>
  <cols>
    <col min="2" max="2" width="20.140625" bestFit="1" customWidth="1"/>
    <col min="3" max="6" width="5.140625" customWidth="1"/>
  </cols>
  <sheetData>
    <row r="1" spans="1:12" x14ac:dyDescent="0.25">
      <c r="A1" t="s">
        <v>37</v>
      </c>
      <c r="B1" t="s">
        <v>38</v>
      </c>
      <c r="C1">
        <v>1</v>
      </c>
      <c r="D1">
        <v>2</v>
      </c>
      <c r="E1">
        <v>3</v>
      </c>
      <c r="F1">
        <v>4</v>
      </c>
      <c r="G1" t="s">
        <v>22</v>
      </c>
      <c r="H1" t="s">
        <v>23</v>
      </c>
      <c r="I1" t="s">
        <v>24</v>
      </c>
    </row>
    <row r="2" spans="1:12" x14ac:dyDescent="0.25">
      <c r="A2">
        <v>0</v>
      </c>
      <c r="B2" s="7" t="s">
        <v>35</v>
      </c>
      <c r="C2" s="7">
        <v>3</v>
      </c>
      <c r="D2" s="7">
        <v>1</v>
      </c>
      <c r="E2" s="7">
        <v>6</v>
      </c>
      <c r="F2" s="7">
        <v>6</v>
      </c>
      <c r="G2" s="7">
        <f t="shared" ref="G2:G20" si="0">SUM(C2:F2)</f>
        <v>16</v>
      </c>
      <c r="H2" s="7"/>
      <c r="I2" s="7"/>
    </row>
    <row r="3" spans="1:12" x14ac:dyDescent="0.25">
      <c r="A3">
        <v>1</v>
      </c>
      <c r="B3" t="s">
        <v>0</v>
      </c>
      <c r="C3">
        <v>1</v>
      </c>
      <c r="D3">
        <v>1</v>
      </c>
      <c r="E3" s="6">
        <v>1.4</v>
      </c>
      <c r="F3">
        <v>3</v>
      </c>
      <c r="G3" s="6">
        <f t="shared" si="0"/>
        <v>6.4</v>
      </c>
      <c r="H3" s="5">
        <f>G3/$G$2</f>
        <v>0.4</v>
      </c>
      <c r="I3">
        <f>VLOOKUP(H3,$K$3:$L$7,2,TRUE)</f>
        <v>2</v>
      </c>
      <c r="K3" s="4">
        <v>0</v>
      </c>
      <c r="L3">
        <v>1</v>
      </c>
    </row>
    <row r="4" spans="1:12" x14ac:dyDescent="0.25">
      <c r="A4">
        <v>2</v>
      </c>
      <c r="B4" t="s">
        <v>1</v>
      </c>
      <c r="C4">
        <v>1</v>
      </c>
      <c r="D4">
        <v>1</v>
      </c>
      <c r="E4">
        <v>0</v>
      </c>
      <c r="F4">
        <v>3</v>
      </c>
      <c r="G4" s="6">
        <f t="shared" si="0"/>
        <v>5</v>
      </c>
      <c r="H4" s="5">
        <f>G4/$G$2</f>
        <v>0.3125</v>
      </c>
      <c r="I4">
        <f>VLOOKUP(H4,$K$3:$L$7,2,TRUE)</f>
        <v>1</v>
      </c>
      <c r="K4" s="4">
        <v>0.4</v>
      </c>
      <c r="L4">
        <v>2</v>
      </c>
    </row>
    <row r="5" spans="1:12" x14ac:dyDescent="0.25">
      <c r="A5">
        <v>3</v>
      </c>
      <c r="B5" t="s">
        <v>2</v>
      </c>
      <c r="C5">
        <v>2</v>
      </c>
      <c r="D5">
        <v>1</v>
      </c>
      <c r="E5">
        <v>0</v>
      </c>
      <c r="F5">
        <v>1</v>
      </c>
      <c r="G5" s="6">
        <f t="shared" si="0"/>
        <v>4</v>
      </c>
      <c r="H5" s="5">
        <f>G5/$G$2</f>
        <v>0.25</v>
      </c>
      <c r="I5">
        <f>VLOOKUP(H5,$K$3:$L$7,2,TRUE)</f>
        <v>1</v>
      </c>
      <c r="K5" s="4">
        <v>0.55000000000000004</v>
      </c>
      <c r="L5">
        <v>3</v>
      </c>
    </row>
    <row r="6" spans="1:12" x14ac:dyDescent="0.25">
      <c r="A6">
        <v>4</v>
      </c>
      <c r="B6" s="9" t="s">
        <v>3</v>
      </c>
      <c r="C6">
        <v>1</v>
      </c>
      <c r="D6">
        <v>1</v>
      </c>
      <c r="E6">
        <v>0</v>
      </c>
      <c r="F6" s="6">
        <v>4.4000000000000004</v>
      </c>
      <c r="G6" s="6">
        <f t="shared" si="0"/>
        <v>6.4</v>
      </c>
      <c r="H6" s="5">
        <f t="shared" ref="H6:H20" si="1">G6/$G$2</f>
        <v>0.4</v>
      </c>
      <c r="I6">
        <f t="shared" ref="I6:I20" si="2">VLOOKUP(H6,$K$3:$L$7,2,TRUE)</f>
        <v>2</v>
      </c>
      <c r="K6" s="4">
        <v>0.7</v>
      </c>
      <c r="L6">
        <v>4</v>
      </c>
    </row>
    <row r="7" spans="1:12" x14ac:dyDescent="0.25">
      <c r="A7">
        <v>5</v>
      </c>
      <c r="B7" t="s">
        <v>4</v>
      </c>
      <c r="C7">
        <v>1</v>
      </c>
      <c r="D7">
        <v>1</v>
      </c>
      <c r="E7">
        <v>0</v>
      </c>
      <c r="F7">
        <v>3</v>
      </c>
      <c r="G7" s="6">
        <f t="shared" si="0"/>
        <v>5</v>
      </c>
      <c r="H7" s="5">
        <f t="shared" si="1"/>
        <v>0.3125</v>
      </c>
      <c r="I7">
        <f t="shared" si="2"/>
        <v>1</v>
      </c>
      <c r="K7" s="4">
        <v>0.85</v>
      </c>
      <c r="L7">
        <v>5</v>
      </c>
    </row>
    <row r="8" spans="1:12" x14ac:dyDescent="0.25">
      <c r="A8">
        <v>6</v>
      </c>
      <c r="B8" t="s">
        <v>5</v>
      </c>
      <c r="C8">
        <v>1</v>
      </c>
      <c r="D8">
        <v>1</v>
      </c>
      <c r="E8">
        <v>1</v>
      </c>
      <c r="F8">
        <v>0</v>
      </c>
      <c r="G8" s="6">
        <f t="shared" si="0"/>
        <v>3</v>
      </c>
      <c r="H8" s="5">
        <f t="shared" si="1"/>
        <v>0.1875</v>
      </c>
      <c r="I8">
        <f t="shared" si="2"/>
        <v>1</v>
      </c>
    </row>
    <row r="9" spans="1:12" x14ac:dyDescent="0.25">
      <c r="A9">
        <v>7</v>
      </c>
      <c r="B9" t="s">
        <v>6</v>
      </c>
      <c r="C9">
        <v>1</v>
      </c>
      <c r="D9">
        <v>1</v>
      </c>
      <c r="E9">
        <v>0</v>
      </c>
      <c r="F9" s="6">
        <v>2</v>
      </c>
      <c r="G9" s="6">
        <f t="shared" si="0"/>
        <v>4</v>
      </c>
      <c r="H9" s="5">
        <f t="shared" si="1"/>
        <v>0.25</v>
      </c>
      <c r="I9">
        <f t="shared" si="2"/>
        <v>1</v>
      </c>
    </row>
    <row r="10" spans="1:12" x14ac:dyDescent="0.25">
      <c r="A10">
        <v>8</v>
      </c>
      <c r="B10" t="s">
        <v>7</v>
      </c>
      <c r="C10">
        <v>1</v>
      </c>
      <c r="D10">
        <v>1</v>
      </c>
      <c r="E10">
        <v>3</v>
      </c>
      <c r="F10">
        <v>2</v>
      </c>
      <c r="G10" s="6">
        <f t="shared" si="0"/>
        <v>7</v>
      </c>
      <c r="H10" s="5">
        <f t="shared" si="1"/>
        <v>0.4375</v>
      </c>
      <c r="I10">
        <f t="shared" si="2"/>
        <v>2</v>
      </c>
    </row>
    <row r="11" spans="1:12" x14ac:dyDescent="0.25">
      <c r="A11">
        <v>9</v>
      </c>
      <c r="B11" t="s">
        <v>8</v>
      </c>
      <c r="C11">
        <v>1</v>
      </c>
      <c r="D11">
        <v>1</v>
      </c>
      <c r="E11">
        <v>0</v>
      </c>
      <c r="F11">
        <v>2</v>
      </c>
      <c r="G11" s="6">
        <f t="shared" si="0"/>
        <v>4</v>
      </c>
      <c r="H11" s="5">
        <f t="shared" si="1"/>
        <v>0.25</v>
      </c>
      <c r="I11">
        <f t="shared" si="2"/>
        <v>1</v>
      </c>
    </row>
    <row r="12" spans="1:12" x14ac:dyDescent="0.25">
      <c r="A12">
        <v>10</v>
      </c>
      <c r="B12" s="9" t="s">
        <v>9</v>
      </c>
      <c r="C12">
        <v>1</v>
      </c>
      <c r="D12">
        <v>1</v>
      </c>
      <c r="E12">
        <v>2</v>
      </c>
      <c r="F12">
        <v>5</v>
      </c>
      <c r="G12" s="6">
        <f t="shared" si="0"/>
        <v>9</v>
      </c>
      <c r="H12" s="5">
        <f t="shared" si="1"/>
        <v>0.5625</v>
      </c>
      <c r="I12">
        <f t="shared" si="2"/>
        <v>3</v>
      </c>
    </row>
    <row r="13" spans="1:12" x14ac:dyDescent="0.25">
      <c r="A13">
        <v>11</v>
      </c>
      <c r="B13" t="s">
        <v>10</v>
      </c>
      <c r="C13">
        <v>1</v>
      </c>
      <c r="D13">
        <v>1</v>
      </c>
      <c r="E13">
        <v>3</v>
      </c>
      <c r="F13">
        <v>4</v>
      </c>
      <c r="G13" s="6">
        <f t="shared" si="0"/>
        <v>9</v>
      </c>
      <c r="H13" s="5">
        <f t="shared" si="1"/>
        <v>0.5625</v>
      </c>
      <c r="I13">
        <f t="shared" si="2"/>
        <v>3</v>
      </c>
    </row>
    <row r="14" spans="1:12" x14ac:dyDescent="0.25">
      <c r="A14">
        <v>12</v>
      </c>
      <c r="B14" t="s">
        <v>11</v>
      </c>
      <c r="C14">
        <v>1</v>
      </c>
      <c r="D14">
        <v>1</v>
      </c>
      <c r="E14">
        <v>0</v>
      </c>
      <c r="F14">
        <v>2</v>
      </c>
      <c r="G14" s="6">
        <f t="shared" si="0"/>
        <v>4</v>
      </c>
      <c r="H14" s="5">
        <f t="shared" si="1"/>
        <v>0.25</v>
      </c>
      <c r="I14">
        <f t="shared" si="2"/>
        <v>1</v>
      </c>
    </row>
    <row r="15" spans="1:12" x14ac:dyDescent="0.25">
      <c r="A15">
        <v>13</v>
      </c>
      <c r="B15" t="s">
        <v>12</v>
      </c>
      <c r="C15">
        <v>1</v>
      </c>
      <c r="D15">
        <v>1</v>
      </c>
      <c r="E15" s="6">
        <v>2.4</v>
      </c>
      <c r="F15">
        <v>2</v>
      </c>
      <c r="G15" s="6">
        <f t="shared" si="0"/>
        <v>6.4</v>
      </c>
      <c r="H15" s="5">
        <f t="shared" si="1"/>
        <v>0.4</v>
      </c>
      <c r="I15">
        <f t="shared" si="2"/>
        <v>2</v>
      </c>
    </row>
    <row r="16" spans="1:12" x14ac:dyDescent="0.25">
      <c r="A16">
        <v>14</v>
      </c>
      <c r="B16" t="s">
        <v>13</v>
      </c>
      <c r="C16" s="6">
        <v>2</v>
      </c>
      <c r="D16" s="6">
        <v>1</v>
      </c>
      <c r="E16" s="6">
        <v>0</v>
      </c>
      <c r="F16" s="6">
        <v>6</v>
      </c>
      <c r="G16" s="6">
        <f t="shared" si="0"/>
        <v>9</v>
      </c>
      <c r="H16" s="5">
        <f t="shared" si="1"/>
        <v>0.5625</v>
      </c>
      <c r="I16">
        <f t="shared" si="2"/>
        <v>3</v>
      </c>
    </row>
    <row r="17" spans="1:9" x14ac:dyDescent="0.25">
      <c r="A17">
        <v>15</v>
      </c>
      <c r="B17" t="s">
        <v>14</v>
      </c>
      <c r="C17">
        <v>1</v>
      </c>
      <c r="D17">
        <v>0</v>
      </c>
      <c r="E17">
        <v>0</v>
      </c>
      <c r="F17">
        <v>2</v>
      </c>
      <c r="G17" s="6">
        <f t="shared" si="0"/>
        <v>3</v>
      </c>
      <c r="H17" s="5">
        <f t="shared" si="1"/>
        <v>0.1875</v>
      </c>
      <c r="I17">
        <f t="shared" si="2"/>
        <v>1</v>
      </c>
    </row>
    <row r="18" spans="1:9" x14ac:dyDescent="0.25">
      <c r="A18">
        <v>16</v>
      </c>
      <c r="B18" s="8" t="s">
        <v>15</v>
      </c>
      <c r="C18" t="s">
        <v>25</v>
      </c>
      <c r="D18" t="s">
        <v>25</v>
      </c>
      <c r="E18" t="s">
        <v>25</v>
      </c>
      <c r="F18" t="s">
        <v>25</v>
      </c>
      <c r="G18" s="6">
        <f t="shared" si="0"/>
        <v>0</v>
      </c>
      <c r="H18" s="5">
        <f t="shared" si="1"/>
        <v>0</v>
      </c>
    </row>
    <row r="19" spans="1:9" x14ac:dyDescent="0.25">
      <c r="A19">
        <v>17</v>
      </c>
      <c r="B19" t="s">
        <v>16</v>
      </c>
      <c r="C19">
        <v>1</v>
      </c>
      <c r="D19">
        <v>1</v>
      </c>
      <c r="E19">
        <v>3</v>
      </c>
      <c r="F19">
        <v>4</v>
      </c>
      <c r="G19" s="6">
        <f t="shared" si="0"/>
        <v>9</v>
      </c>
      <c r="H19" s="5">
        <f t="shared" si="1"/>
        <v>0.5625</v>
      </c>
      <c r="I19">
        <f t="shared" si="2"/>
        <v>3</v>
      </c>
    </row>
    <row r="20" spans="1:9" x14ac:dyDescent="0.25">
      <c r="A20">
        <v>18</v>
      </c>
      <c r="B20" s="9" t="s">
        <v>17</v>
      </c>
      <c r="C20">
        <v>1</v>
      </c>
      <c r="D20">
        <v>1</v>
      </c>
      <c r="E20">
        <v>0</v>
      </c>
      <c r="F20">
        <v>1</v>
      </c>
      <c r="G20" s="6">
        <f t="shared" si="0"/>
        <v>3</v>
      </c>
      <c r="H20" s="5">
        <f t="shared" si="1"/>
        <v>0.1875</v>
      </c>
      <c r="I20">
        <f t="shared" si="2"/>
        <v>1</v>
      </c>
    </row>
    <row r="21" spans="1:9" x14ac:dyDescent="0.25">
      <c r="I21">
        <f>AVERAGE(I3:I20)</f>
        <v>1.7058823529411764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DF7BE-6EA7-4661-956B-A2C01BF67764}">
  <sheetPr codeName="Munka8"/>
  <dimension ref="A1:N21"/>
  <sheetViews>
    <sheetView zoomScale="115" zoomScaleNormal="115" workbookViewId="0">
      <selection activeCell="M11" sqref="M11"/>
    </sheetView>
  </sheetViews>
  <sheetFormatPr defaultRowHeight="15" x14ac:dyDescent="0.25"/>
  <cols>
    <col min="2" max="2" width="20.140625" bestFit="1" customWidth="1"/>
    <col min="3" max="8" width="5.140625" customWidth="1"/>
  </cols>
  <sheetData>
    <row r="1" spans="1:14" x14ac:dyDescent="0.25">
      <c r="A1" t="s">
        <v>37</v>
      </c>
      <c r="B1" t="s">
        <v>38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22</v>
      </c>
      <c r="J1" t="s">
        <v>23</v>
      </c>
      <c r="K1" t="s">
        <v>24</v>
      </c>
    </row>
    <row r="2" spans="1:14" x14ac:dyDescent="0.25">
      <c r="A2">
        <v>0</v>
      </c>
      <c r="B2" s="7" t="s">
        <v>35</v>
      </c>
      <c r="C2" s="7">
        <v>1</v>
      </c>
      <c r="D2" s="7">
        <v>4</v>
      </c>
      <c r="E2" s="7">
        <v>3</v>
      </c>
      <c r="F2" s="7">
        <v>3</v>
      </c>
      <c r="G2" s="7">
        <v>5</v>
      </c>
      <c r="H2" s="7">
        <v>4</v>
      </c>
      <c r="I2" s="7">
        <f>SUM(C2:H2)</f>
        <v>20</v>
      </c>
      <c r="J2" s="7"/>
      <c r="K2" s="7"/>
    </row>
    <row r="3" spans="1:14" x14ac:dyDescent="0.25">
      <c r="A3">
        <v>1</v>
      </c>
      <c r="B3" t="s">
        <v>0</v>
      </c>
      <c r="C3">
        <v>1</v>
      </c>
      <c r="D3">
        <v>0</v>
      </c>
      <c r="E3" s="6">
        <v>1</v>
      </c>
      <c r="F3">
        <v>0</v>
      </c>
      <c r="G3">
        <v>3</v>
      </c>
      <c r="H3">
        <v>3</v>
      </c>
      <c r="I3" s="6">
        <f t="shared" ref="I3:I20" si="0">SUM(C3:H3)</f>
        <v>8</v>
      </c>
      <c r="J3" s="5">
        <f>I3/$I$2</f>
        <v>0.4</v>
      </c>
      <c r="K3">
        <f t="shared" ref="K3:K20" si="1">VLOOKUP(J3,$M$3:$N$7,2,TRUE)</f>
        <v>2</v>
      </c>
      <c r="M3" s="4">
        <v>0</v>
      </c>
      <c r="N3">
        <v>1</v>
      </c>
    </row>
    <row r="4" spans="1:14" x14ac:dyDescent="0.25">
      <c r="A4">
        <v>2</v>
      </c>
      <c r="B4" t="s">
        <v>1</v>
      </c>
      <c r="C4">
        <v>1</v>
      </c>
      <c r="D4">
        <v>0</v>
      </c>
      <c r="E4">
        <v>0</v>
      </c>
      <c r="F4">
        <v>0</v>
      </c>
      <c r="G4">
        <v>3</v>
      </c>
      <c r="H4">
        <v>2</v>
      </c>
      <c r="I4" s="6">
        <f t="shared" si="0"/>
        <v>6</v>
      </c>
      <c r="J4" s="5">
        <f>I4/$I$2</f>
        <v>0.3</v>
      </c>
      <c r="K4">
        <f t="shared" si="1"/>
        <v>1</v>
      </c>
      <c r="M4" s="4">
        <v>0.4</v>
      </c>
      <c r="N4">
        <v>2</v>
      </c>
    </row>
    <row r="5" spans="1:14" x14ac:dyDescent="0.25">
      <c r="A5">
        <v>3</v>
      </c>
      <c r="B5" t="s">
        <v>2</v>
      </c>
      <c r="C5">
        <v>1</v>
      </c>
      <c r="D5">
        <v>1</v>
      </c>
      <c r="E5">
        <v>0</v>
      </c>
      <c r="F5">
        <v>0</v>
      </c>
      <c r="G5">
        <v>3</v>
      </c>
      <c r="H5">
        <v>0</v>
      </c>
      <c r="I5" s="6">
        <f t="shared" si="0"/>
        <v>5</v>
      </c>
      <c r="J5" s="5">
        <f>I5/$I$2</f>
        <v>0.25</v>
      </c>
      <c r="K5">
        <f t="shared" si="1"/>
        <v>1</v>
      </c>
      <c r="M5" s="4">
        <v>0.55000000000000004</v>
      </c>
      <c r="N5">
        <v>3</v>
      </c>
    </row>
    <row r="6" spans="1:14" x14ac:dyDescent="0.25">
      <c r="A6">
        <v>4</v>
      </c>
      <c r="B6" s="9" t="s">
        <v>3</v>
      </c>
      <c r="C6">
        <v>1</v>
      </c>
      <c r="D6">
        <v>1</v>
      </c>
      <c r="E6">
        <v>1</v>
      </c>
      <c r="F6" s="6">
        <v>0</v>
      </c>
      <c r="G6" s="6">
        <v>5</v>
      </c>
      <c r="H6" s="6">
        <v>3</v>
      </c>
      <c r="I6" s="6">
        <f t="shared" si="0"/>
        <v>11</v>
      </c>
      <c r="J6" s="5">
        <f t="shared" ref="J6:J20" si="2">I6/$I$2</f>
        <v>0.55000000000000004</v>
      </c>
      <c r="K6">
        <f t="shared" si="1"/>
        <v>3</v>
      </c>
      <c r="M6" s="4">
        <v>0.7</v>
      </c>
      <c r="N6">
        <v>4</v>
      </c>
    </row>
    <row r="7" spans="1:14" x14ac:dyDescent="0.25">
      <c r="A7">
        <v>5</v>
      </c>
      <c r="B7" t="s">
        <v>4</v>
      </c>
      <c r="C7">
        <v>1</v>
      </c>
      <c r="D7">
        <v>0</v>
      </c>
      <c r="E7">
        <v>0</v>
      </c>
      <c r="F7">
        <v>0</v>
      </c>
      <c r="G7">
        <v>3</v>
      </c>
      <c r="H7">
        <v>3</v>
      </c>
      <c r="I7" s="6">
        <f t="shared" si="0"/>
        <v>7</v>
      </c>
      <c r="J7" s="5">
        <f t="shared" si="2"/>
        <v>0.35</v>
      </c>
      <c r="K7">
        <f t="shared" si="1"/>
        <v>1</v>
      </c>
      <c r="M7" s="4">
        <v>0.85</v>
      </c>
      <c r="N7">
        <v>5</v>
      </c>
    </row>
    <row r="8" spans="1:14" x14ac:dyDescent="0.25">
      <c r="A8">
        <v>6</v>
      </c>
      <c r="B8" t="s">
        <v>5</v>
      </c>
      <c r="C8" t="s">
        <v>25</v>
      </c>
      <c r="D8" t="s">
        <v>25</v>
      </c>
      <c r="E8" t="s">
        <v>25</v>
      </c>
      <c r="F8" t="s">
        <v>25</v>
      </c>
      <c r="G8" t="s">
        <v>25</v>
      </c>
      <c r="H8" t="s">
        <v>25</v>
      </c>
      <c r="I8" s="6">
        <f t="shared" si="0"/>
        <v>0</v>
      </c>
      <c r="J8" s="5">
        <f t="shared" si="2"/>
        <v>0</v>
      </c>
      <c r="K8">
        <f t="shared" si="1"/>
        <v>1</v>
      </c>
    </row>
    <row r="9" spans="1:14" x14ac:dyDescent="0.25">
      <c r="A9">
        <v>7</v>
      </c>
      <c r="B9" t="s">
        <v>6</v>
      </c>
      <c r="C9">
        <v>1</v>
      </c>
      <c r="D9">
        <v>0</v>
      </c>
      <c r="E9">
        <v>1</v>
      </c>
      <c r="F9" s="6">
        <v>0</v>
      </c>
      <c r="G9" s="6">
        <v>1</v>
      </c>
      <c r="H9" s="6">
        <v>0</v>
      </c>
      <c r="I9" s="6">
        <f t="shared" si="0"/>
        <v>3</v>
      </c>
      <c r="J9" s="5">
        <f t="shared" si="2"/>
        <v>0.15</v>
      </c>
      <c r="K9">
        <f t="shared" si="1"/>
        <v>1</v>
      </c>
    </row>
    <row r="10" spans="1:14" x14ac:dyDescent="0.25">
      <c r="A10">
        <v>8</v>
      </c>
      <c r="B10" t="s">
        <v>7</v>
      </c>
      <c r="C10">
        <v>1</v>
      </c>
      <c r="D10">
        <v>0</v>
      </c>
      <c r="E10">
        <v>3</v>
      </c>
      <c r="F10">
        <v>0</v>
      </c>
      <c r="G10">
        <v>3</v>
      </c>
      <c r="H10">
        <v>4</v>
      </c>
      <c r="I10" s="6">
        <f t="shared" si="0"/>
        <v>11</v>
      </c>
      <c r="J10" s="5">
        <f t="shared" si="2"/>
        <v>0.55000000000000004</v>
      </c>
      <c r="K10">
        <f t="shared" si="1"/>
        <v>3</v>
      </c>
    </row>
    <row r="11" spans="1:14" x14ac:dyDescent="0.25">
      <c r="A11">
        <v>9</v>
      </c>
      <c r="B11" t="s">
        <v>8</v>
      </c>
      <c r="C11">
        <v>1</v>
      </c>
      <c r="D11">
        <v>0</v>
      </c>
      <c r="E11">
        <v>0</v>
      </c>
      <c r="F11">
        <v>0</v>
      </c>
      <c r="G11">
        <v>2</v>
      </c>
      <c r="H11">
        <v>2</v>
      </c>
      <c r="I11" s="6">
        <f t="shared" si="0"/>
        <v>5</v>
      </c>
      <c r="J11" s="5">
        <f t="shared" si="2"/>
        <v>0.25</v>
      </c>
      <c r="K11">
        <f t="shared" si="1"/>
        <v>1</v>
      </c>
    </row>
    <row r="12" spans="1:14" x14ac:dyDescent="0.25">
      <c r="A12">
        <v>10</v>
      </c>
      <c r="B12" s="9" t="s">
        <v>9</v>
      </c>
      <c r="C12">
        <v>1</v>
      </c>
      <c r="D12">
        <v>4</v>
      </c>
      <c r="E12">
        <v>3</v>
      </c>
      <c r="F12">
        <v>3</v>
      </c>
      <c r="G12">
        <v>4</v>
      </c>
      <c r="H12">
        <v>3</v>
      </c>
      <c r="I12" s="6">
        <f t="shared" si="0"/>
        <v>18</v>
      </c>
      <c r="J12" s="5">
        <f t="shared" si="2"/>
        <v>0.9</v>
      </c>
      <c r="K12">
        <f t="shared" si="1"/>
        <v>5</v>
      </c>
    </row>
    <row r="13" spans="1:14" x14ac:dyDescent="0.25">
      <c r="A13">
        <v>11</v>
      </c>
      <c r="B13" t="s">
        <v>10</v>
      </c>
      <c r="C13">
        <v>1</v>
      </c>
      <c r="D13">
        <v>0</v>
      </c>
      <c r="E13">
        <v>0</v>
      </c>
      <c r="F13">
        <v>0</v>
      </c>
      <c r="G13">
        <v>1</v>
      </c>
      <c r="H13">
        <v>0</v>
      </c>
      <c r="I13" s="6">
        <f t="shared" si="0"/>
        <v>2</v>
      </c>
      <c r="J13" s="5">
        <f t="shared" si="2"/>
        <v>0.1</v>
      </c>
      <c r="K13">
        <f t="shared" si="1"/>
        <v>1</v>
      </c>
    </row>
    <row r="14" spans="1:14" x14ac:dyDescent="0.25">
      <c r="A14">
        <v>12</v>
      </c>
      <c r="B14" t="s">
        <v>11</v>
      </c>
      <c r="C14" t="s">
        <v>25</v>
      </c>
      <c r="D14" t="s">
        <v>25</v>
      </c>
      <c r="E14" t="s">
        <v>25</v>
      </c>
      <c r="F14" t="s">
        <v>25</v>
      </c>
      <c r="G14" t="s">
        <v>25</v>
      </c>
      <c r="H14" t="s">
        <v>25</v>
      </c>
      <c r="I14" s="6">
        <f t="shared" si="0"/>
        <v>0</v>
      </c>
      <c r="J14" s="5">
        <f t="shared" si="2"/>
        <v>0</v>
      </c>
      <c r="K14">
        <f t="shared" si="1"/>
        <v>1</v>
      </c>
    </row>
    <row r="15" spans="1:14" x14ac:dyDescent="0.25">
      <c r="A15">
        <v>13</v>
      </c>
      <c r="B15" t="s">
        <v>12</v>
      </c>
      <c r="C15">
        <v>1</v>
      </c>
      <c r="D15">
        <v>1</v>
      </c>
      <c r="E15" s="6">
        <v>1</v>
      </c>
      <c r="F15">
        <v>0</v>
      </c>
      <c r="G15">
        <v>3</v>
      </c>
      <c r="H15">
        <v>0</v>
      </c>
      <c r="I15" s="6">
        <f t="shared" si="0"/>
        <v>6</v>
      </c>
      <c r="J15" s="5">
        <f t="shared" si="2"/>
        <v>0.3</v>
      </c>
      <c r="K15">
        <f t="shared" si="1"/>
        <v>1</v>
      </c>
    </row>
    <row r="16" spans="1:14" x14ac:dyDescent="0.25">
      <c r="A16">
        <v>14</v>
      </c>
      <c r="B16" t="s">
        <v>13</v>
      </c>
      <c r="C16" s="6">
        <v>1</v>
      </c>
      <c r="D16" s="6">
        <v>4</v>
      </c>
      <c r="E16" s="6">
        <v>3</v>
      </c>
      <c r="F16" s="6">
        <v>3</v>
      </c>
      <c r="G16" s="6">
        <v>5</v>
      </c>
      <c r="H16" s="6">
        <v>4</v>
      </c>
      <c r="I16" s="6">
        <f t="shared" si="0"/>
        <v>20</v>
      </c>
      <c r="J16" s="5">
        <f t="shared" si="2"/>
        <v>1</v>
      </c>
      <c r="K16">
        <f t="shared" si="1"/>
        <v>5</v>
      </c>
    </row>
    <row r="17" spans="1:11" x14ac:dyDescent="0.25">
      <c r="A17">
        <v>15</v>
      </c>
      <c r="B17" t="s">
        <v>14</v>
      </c>
      <c r="C17">
        <v>1</v>
      </c>
      <c r="D17">
        <v>0</v>
      </c>
      <c r="E17">
        <v>2</v>
      </c>
      <c r="F17">
        <v>0</v>
      </c>
      <c r="G17">
        <v>3</v>
      </c>
      <c r="H17">
        <v>2</v>
      </c>
      <c r="I17" s="6">
        <f t="shared" si="0"/>
        <v>8</v>
      </c>
      <c r="J17" s="5">
        <f t="shared" si="2"/>
        <v>0.4</v>
      </c>
      <c r="K17">
        <f t="shared" si="1"/>
        <v>2</v>
      </c>
    </row>
    <row r="18" spans="1:11" x14ac:dyDescent="0.25">
      <c r="A18">
        <v>16</v>
      </c>
      <c r="B18" s="9" t="s">
        <v>15</v>
      </c>
      <c r="C18">
        <v>1</v>
      </c>
      <c r="D18">
        <v>0</v>
      </c>
      <c r="E18">
        <v>0</v>
      </c>
      <c r="F18">
        <v>0</v>
      </c>
      <c r="G18">
        <v>3</v>
      </c>
      <c r="H18">
        <v>0</v>
      </c>
      <c r="I18" s="6">
        <f t="shared" si="0"/>
        <v>4</v>
      </c>
      <c r="J18" s="5">
        <f t="shared" si="2"/>
        <v>0.2</v>
      </c>
      <c r="K18">
        <f t="shared" si="1"/>
        <v>1</v>
      </c>
    </row>
    <row r="19" spans="1:11" x14ac:dyDescent="0.25">
      <c r="A19">
        <v>17</v>
      </c>
      <c r="B19" t="s">
        <v>16</v>
      </c>
      <c r="C19">
        <v>1</v>
      </c>
      <c r="D19">
        <v>0</v>
      </c>
      <c r="E19">
        <v>3</v>
      </c>
      <c r="F19">
        <v>3</v>
      </c>
      <c r="G19">
        <v>3</v>
      </c>
      <c r="H19">
        <v>2</v>
      </c>
      <c r="I19" s="6">
        <f t="shared" si="0"/>
        <v>12</v>
      </c>
      <c r="J19" s="5">
        <f t="shared" si="2"/>
        <v>0.6</v>
      </c>
      <c r="K19">
        <f t="shared" si="1"/>
        <v>3</v>
      </c>
    </row>
    <row r="20" spans="1:11" x14ac:dyDescent="0.25">
      <c r="A20">
        <v>18</v>
      </c>
      <c r="B20" s="9" t="s">
        <v>17</v>
      </c>
      <c r="C20">
        <v>1</v>
      </c>
      <c r="D20">
        <v>0</v>
      </c>
      <c r="E20">
        <v>2</v>
      </c>
      <c r="F20">
        <v>1</v>
      </c>
      <c r="G20">
        <v>4</v>
      </c>
      <c r="H20">
        <v>0</v>
      </c>
      <c r="I20" s="6">
        <f t="shared" si="0"/>
        <v>8</v>
      </c>
      <c r="J20" s="5">
        <f t="shared" si="2"/>
        <v>0.4</v>
      </c>
      <c r="K20">
        <f t="shared" si="1"/>
        <v>2</v>
      </c>
    </row>
    <row r="21" spans="1:11" x14ac:dyDescent="0.25">
      <c r="K21">
        <f>AVERAGE(K15:K20,K11:K13,K9,K3:K7)</f>
        <v>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30EBC-B73A-4B52-BA91-4A800D1EB6A8}">
  <sheetPr codeName="Munka9"/>
  <dimension ref="A1:N21"/>
  <sheetViews>
    <sheetView zoomScale="190" zoomScaleNormal="190" workbookViewId="0">
      <selection activeCell="B4" sqref="B4"/>
    </sheetView>
  </sheetViews>
  <sheetFormatPr defaultRowHeight="15" x14ac:dyDescent="0.25"/>
  <cols>
    <col min="2" max="2" width="20.140625" bestFit="1" customWidth="1"/>
    <col min="3" max="8" width="5.140625" customWidth="1"/>
  </cols>
  <sheetData>
    <row r="1" spans="1:14" x14ac:dyDescent="0.25">
      <c r="A1" t="s">
        <v>37</v>
      </c>
      <c r="B1" t="s">
        <v>38</v>
      </c>
      <c r="C1">
        <v>1</v>
      </c>
      <c r="D1">
        <v>2</v>
      </c>
      <c r="E1">
        <v>3</v>
      </c>
      <c r="F1">
        <v>4</v>
      </c>
      <c r="G1">
        <v>5</v>
      </c>
      <c r="H1" s="10">
        <v>6</v>
      </c>
      <c r="I1" t="s">
        <v>22</v>
      </c>
      <c r="J1" t="s">
        <v>23</v>
      </c>
      <c r="K1" t="s">
        <v>24</v>
      </c>
    </row>
    <row r="2" spans="1:14" x14ac:dyDescent="0.25">
      <c r="A2">
        <v>0</v>
      </c>
      <c r="B2" s="7" t="s">
        <v>35</v>
      </c>
      <c r="C2" s="7">
        <v>9</v>
      </c>
      <c r="D2" s="7">
        <v>5</v>
      </c>
      <c r="E2" s="7">
        <v>5</v>
      </c>
      <c r="F2" s="7">
        <v>5</v>
      </c>
      <c r="G2" s="7">
        <v>10</v>
      </c>
      <c r="H2" s="11"/>
      <c r="I2" s="7">
        <f t="shared" ref="I2" si="0">SUM(C2:G2)</f>
        <v>34</v>
      </c>
      <c r="J2" s="7"/>
      <c r="K2" s="7"/>
    </row>
    <row r="3" spans="1:14" x14ac:dyDescent="0.25">
      <c r="A3">
        <v>1</v>
      </c>
      <c r="B3" t="s">
        <v>0</v>
      </c>
      <c r="C3">
        <v>5</v>
      </c>
      <c r="D3">
        <v>4</v>
      </c>
      <c r="E3" s="6">
        <v>0</v>
      </c>
      <c r="F3">
        <v>5</v>
      </c>
      <c r="G3">
        <v>0</v>
      </c>
      <c r="H3" s="12">
        <v>7</v>
      </c>
      <c r="I3" s="6">
        <f>SUM(C3:H3)</f>
        <v>21</v>
      </c>
      <c r="J3" s="5">
        <f>I3/$I$2</f>
        <v>0.61764705882352944</v>
      </c>
      <c r="K3">
        <f t="shared" ref="K3:K20" si="1">VLOOKUP(J3,$M$3:$N$7,2,TRUE)</f>
        <v>3</v>
      </c>
      <c r="M3" s="4">
        <v>0</v>
      </c>
      <c r="N3">
        <v>1</v>
      </c>
    </row>
    <row r="4" spans="1:14" x14ac:dyDescent="0.25">
      <c r="A4">
        <v>2</v>
      </c>
      <c r="B4" t="s">
        <v>1</v>
      </c>
      <c r="C4">
        <v>7</v>
      </c>
      <c r="D4">
        <v>4</v>
      </c>
      <c r="E4">
        <v>0</v>
      </c>
      <c r="F4">
        <v>5</v>
      </c>
      <c r="G4">
        <v>1</v>
      </c>
      <c r="H4" s="12"/>
      <c r="I4" s="6">
        <f t="shared" ref="I4:I20" si="2">SUM(C4:H4)</f>
        <v>17</v>
      </c>
      <c r="J4" s="5">
        <f>I4/$I$2</f>
        <v>0.5</v>
      </c>
      <c r="K4">
        <f t="shared" si="1"/>
        <v>2</v>
      </c>
      <c r="M4" s="4">
        <v>0.4</v>
      </c>
      <c r="N4">
        <v>2</v>
      </c>
    </row>
    <row r="5" spans="1:14" x14ac:dyDescent="0.25">
      <c r="A5">
        <v>3</v>
      </c>
      <c r="B5" t="s">
        <v>2</v>
      </c>
      <c r="C5" t="s">
        <v>25</v>
      </c>
      <c r="D5" t="s">
        <v>25</v>
      </c>
      <c r="E5" t="s">
        <v>25</v>
      </c>
      <c r="F5" t="s">
        <v>25</v>
      </c>
      <c r="G5" t="s">
        <v>25</v>
      </c>
      <c r="H5" s="12" t="s">
        <v>25</v>
      </c>
      <c r="I5" s="6">
        <f t="shared" si="2"/>
        <v>0</v>
      </c>
      <c r="J5" s="5">
        <f>I5/$I$2</f>
        <v>0</v>
      </c>
      <c r="M5" s="4">
        <v>0.55000000000000004</v>
      </c>
      <c r="N5">
        <v>3</v>
      </c>
    </row>
    <row r="6" spans="1:14" x14ac:dyDescent="0.25">
      <c r="A6">
        <v>4</v>
      </c>
      <c r="B6" s="9" t="s">
        <v>3</v>
      </c>
      <c r="C6">
        <v>8</v>
      </c>
      <c r="D6">
        <v>4</v>
      </c>
      <c r="E6">
        <v>0</v>
      </c>
      <c r="F6" s="6">
        <v>5</v>
      </c>
      <c r="G6" s="6">
        <v>10</v>
      </c>
      <c r="H6" s="13">
        <v>6</v>
      </c>
      <c r="I6" s="6">
        <f t="shared" si="2"/>
        <v>33</v>
      </c>
      <c r="J6" s="5">
        <f t="shared" ref="J6:J20" si="3">I6/$I$2</f>
        <v>0.97058823529411764</v>
      </c>
      <c r="K6">
        <f t="shared" si="1"/>
        <v>5</v>
      </c>
      <c r="M6" s="4">
        <v>0.7</v>
      </c>
      <c r="N6">
        <v>4</v>
      </c>
    </row>
    <row r="7" spans="1:14" x14ac:dyDescent="0.25">
      <c r="A7">
        <v>5</v>
      </c>
      <c r="B7" t="s">
        <v>4</v>
      </c>
      <c r="C7">
        <v>8</v>
      </c>
      <c r="D7">
        <v>5</v>
      </c>
      <c r="E7">
        <v>2</v>
      </c>
      <c r="F7">
        <v>4</v>
      </c>
      <c r="G7">
        <v>0</v>
      </c>
      <c r="H7" s="12"/>
      <c r="I7" s="6">
        <f t="shared" si="2"/>
        <v>19</v>
      </c>
      <c r="J7" s="5">
        <f t="shared" si="3"/>
        <v>0.55882352941176472</v>
      </c>
      <c r="K7">
        <f t="shared" si="1"/>
        <v>3</v>
      </c>
      <c r="M7" s="4">
        <v>0.85</v>
      </c>
      <c r="N7">
        <v>5</v>
      </c>
    </row>
    <row r="8" spans="1:14" x14ac:dyDescent="0.25">
      <c r="A8">
        <v>6</v>
      </c>
      <c r="B8" t="s">
        <v>5</v>
      </c>
      <c r="C8">
        <v>5</v>
      </c>
      <c r="D8">
        <v>0</v>
      </c>
      <c r="E8">
        <v>0</v>
      </c>
      <c r="F8">
        <v>4</v>
      </c>
      <c r="G8">
        <v>0</v>
      </c>
      <c r="H8" s="12">
        <v>5</v>
      </c>
      <c r="I8" s="6">
        <f t="shared" si="2"/>
        <v>14</v>
      </c>
      <c r="J8" s="5">
        <f t="shared" si="3"/>
        <v>0.41176470588235292</v>
      </c>
      <c r="K8">
        <f t="shared" si="1"/>
        <v>2</v>
      </c>
    </row>
    <row r="9" spans="1:14" x14ac:dyDescent="0.25">
      <c r="A9">
        <v>7</v>
      </c>
      <c r="B9" t="s">
        <v>6</v>
      </c>
      <c r="C9">
        <v>4</v>
      </c>
      <c r="D9">
        <v>0</v>
      </c>
      <c r="E9">
        <v>0</v>
      </c>
      <c r="F9" s="6">
        <v>0</v>
      </c>
      <c r="G9" s="6">
        <v>0</v>
      </c>
      <c r="H9" s="13"/>
      <c r="I9" s="6">
        <f t="shared" si="2"/>
        <v>4</v>
      </c>
      <c r="J9" s="5">
        <f t="shared" si="3"/>
        <v>0.11764705882352941</v>
      </c>
      <c r="K9">
        <f t="shared" si="1"/>
        <v>1</v>
      </c>
    </row>
    <row r="10" spans="1:14" x14ac:dyDescent="0.25">
      <c r="A10">
        <v>8</v>
      </c>
      <c r="B10" t="s">
        <v>7</v>
      </c>
      <c r="C10" t="s">
        <v>25</v>
      </c>
      <c r="D10" t="s">
        <v>25</v>
      </c>
      <c r="E10" t="s">
        <v>25</v>
      </c>
      <c r="F10" t="s">
        <v>25</v>
      </c>
      <c r="G10" t="s">
        <v>25</v>
      </c>
      <c r="H10" s="12" t="s">
        <v>25</v>
      </c>
      <c r="I10" s="6">
        <f t="shared" si="2"/>
        <v>0</v>
      </c>
      <c r="J10" s="5">
        <f t="shared" si="3"/>
        <v>0</v>
      </c>
    </row>
    <row r="11" spans="1:14" x14ac:dyDescent="0.25">
      <c r="A11">
        <v>9</v>
      </c>
      <c r="B11" t="s">
        <v>8</v>
      </c>
      <c r="C11">
        <v>2</v>
      </c>
      <c r="D11">
        <v>4</v>
      </c>
      <c r="E11">
        <v>1</v>
      </c>
      <c r="F11">
        <v>0</v>
      </c>
      <c r="G11">
        <v>0</v>
      </c>
      <c r="H11" s="12"/>
      <c r="I11" s="6">
        <f t="shared" si="2"/>
        <v>7</v>
      </c>
      <c r="J11" s="5">
        <f t="shared" si="3"/>
        <v>0.20588235294117646</v>
      </c>
      <c r="K11">
        <f t="shared" si="1"/>
        <v>1</v>
      </c>
    </row>
    <row r="12" spans="1:14" x14ac:dyDescent="0.25">
      <c r="A12">
        <v>10</v>
      </c>
      <c r="B12" s="9" t="s">
        <v>9</v>
      </c>
      <c r="C12">
        <v>6</v>
      </c>
      <c r="D12">
        <v>3</v>
      </c>
      <c r="E12">
        <v>2</v>
      </c>
      <c r="F12">
        <v>4</v>
      </c>
      <c r="G12">
        <v>0</v>
      </c>
      <c r="H12" s="12"/>
      <c r="I12" s="6">
        <f t="shared" si="2"/>
        <v>15</v>
      </c>
      <c r="J12" s="5">
        <f t="shared" si="3"/>
        <v>0.44117647058823528</v>
      </c>
      <c r="K12">
        <f t="shared" si="1"/>
        <v>2</v>
      </c>
    </row>
    <row r="13" spans="1:14" x14ac:dyDescent="0.25">
      <c r="A13">
        <v>11</v>
      </c>
      <c r="B13" t="s">
        <v>10</v>
      </c>
      <c r="C13">
        <v>4</v>
      </c>
      <c r="D13">
        <v>4</v>
      </c>
      <c r="E13">
        <v>1</v>
      </c>
      <c r="F13">
        <v>0</v>
      </c>
      <c r="G13">
        <v>0</v>
      </c>
      <c r="H13" s="12"/>
      <c r="I13" s="6">
        <f t="shared" si="2"/>
        <v>9</v>
      </c>
      <c r="J13" s="5">
        <f t="shared" si="3"/>
        <v>0.26470588235294118</v>
      </c>
      <c r="K13">
        <f t="shared" si="1"/>
        <v>1</v>
      </c>
    </row>
    <row r="14" spans="1:14" x14ac:dyDescent="0.25">
      <c r="A14">
        <v>12</v>
      </c>
      <c r="B14" t="s">
        <v>11</v>
      </c>
      <c r="C14">
        <v>5</v>
      </c>
      <c r="D14">
        <v>3</v>
      </c>
      <c r="E14">
        <v>3</v>
      </c>
      <c r="F14">
        <v>0</v>
      </c>
      <c r="G14">
        <v>0</v>
      </c>
      <c r="H14" s="12"/>
      <c r="I14" s="6">
        <f t="shared" si="2"/>
        <v>11</v>
      </c>
      <c r="J14" s="5">
        <f t="shared" si="3"/>
        <v>0.3235294117647059</v>
      </c>
      <c r="K14">
        <f t="shared" si="1"/>
        <v>1</v>
      </c>
    </row>
    <row r="15" spans="1:14" x14ac:dyDescent="0.25">
      <c r="A15">
        <v>13</v>
      </c>
      <c r="B15" t="s">
        <v>12</v>
      </c>
      <c r="C15">
        <v>6</v>
      </c>
      <c r="D15">
        <v>3</v>
      </c>
      <c r="E15" s="6">
        <v>1</v>
      </c>
      <c r="F15">
        <v>0</v>
      </c>
      <c r="G15">
        <v>0</v>
      </c>
      <c r="H15" s="12"/>
      <c r="I15" s="6">
        <f t="shared" si="2"/>
        <v>10</v>
      </c>
      <c r="J15" s="5">
        <f t="shared" si="3"/>
        <v>0.29411764705882354</v>
      </c>
      <c r="K15">
        <f t="shared" si="1"/>
        <v>1</v>
      </c>
    </row>
    <row r="16" spans="1:14" x14ac:dyDescent="0.25">
      <c r="A16">
        <v>14</v>
      </c>
      <c r="B16" t="s">
        <v>13</v>
      </c>
      <c r="C16" s="6">
        <v>8</v>
      </c>
      <c r="D16" s="6">
        <v>5</v>
      </c>
      <c r="E16" s="6">
        <v>4</v>
      </c>
      <c r="F16" s="6">
        <v>5</v>
      </c>
      <c r="G16" s="6">
        <v>10</v>
      </c>
      <c r="H16" s="13">
        <v>4</v>
      </c>
      <c r="I16" s="6">
        <f t="shared" si="2"/>
        <v>36</v>
      </c>
      <c r="J16" s="5">
        <f t="shared" si="3"/>
        <v>1.0588235294117647</v>
      </c>
      <c r="K16">
        <f t="shared" si="1"/>
        <v>5</v>
      </c>
    </row>
    <row r="17" spans="1:11" x14ac:dyDescent="0.25">
      <c r="A17">
        <v>15</v>
      </c>
      <c r="B17" t="s">
        <v>14</v>
      </c>
      <c r="C17">
        <v>7</v>
      </c>
      <c r="D17">
        <v>4</v>
      </c>
      <c r="E17">
        <v>0</v>
      </c>
      <c r="F17">
        <v>5</v>
      </c>
      <c r="G17">
        <v>0</v>
      </c>
      <c r="H17" s="12">
        <v>4</v>
      </c>
      <c r="I17" s="6">
        <f t="shared" si="2"/>
        <v>20</v>
      </c>
      <c r="J17" s="5">
        <f t="shared" si="3"/>
        <v>0.58823529411764708</v>
      </c>
      <c r="K17">
        <f t="shared" si="1"/>
        <v>3</v>
      </c>
    </row>
    <row r="18" spans="1:11" x14ac:dyDescent="0.25">
      <c r="A18">
        <v>16</v>
      </c>
      <c r="B18" s="9" t="s">
        <v>15</v>
      </c>
      <c r="C18">
        <v>3</v>
      </c>
      <c r="D18">
        <v>4</v>
      </c>
      <c r="E18">
        <v>2</v>
      </c>
      <c r="F18">
        <v>0</v>
      </c>
      <c r="G18">
        <v>0</v>
      </c>
      <c r="H18" s="12"/>
      <c r="I18" s="6">
        <f t="shared" si="2"/>
        <v>9</v>
      </c>
      <c r="J18" s="5">
        <f t="shared" si="3"/>
        <v>0.26470588235294118</v>
      </c>
      <c r="K18">
        <f t="shared" si="1"/>
        <v>1</v>
      </c>
    </row>
    <row r="19" spans="1:11" x14ac:dyDescent="0.25">
      <c r="A19">
        <v>17</v>
      </c>
      <c r="B19" t="s">
        <v>16</v>
      </c>
      <c r="C19">
        <v>7</v>
      </c>
      <c r="D19">
        <v>4</v>
      </c>
      <c r="E19">
        <v>0</v>
      </c>
      <c r="F19">
        <v>3</v>
      </c>
      <c r="G19">
        <v>0</v>
      </c>
      <c r="H19" s="12"/>
      <c r="I19" s="6">
        <f t="shared" si="2"/>
        <v>14</v>
      </c>
      <c r="J19" s="5">
        <f t="shared" si="3"/>
        <v>0.41176470588235292</v>
      </c>
      <c r="K19">
        <f t="shared" si="1"/>
        <v>2</v>
      </c>
    </row>
    <row r="20" spans="1:11" x14ac:dyDescent="0.25">
      <c r="A20">
        <v>18</v>
      </c>
      <c r="B20" s="9" t="s">
        <v>17</v>
      </c>
      <c r="C20">
        <v>3</v>
      </c>
      <c r="D20">
        <v>4</v>
      </c>
      <c r="E20">
        <v>3</v>
      </c>
      <c r="F20">
        <v>3</v>
      </c>
      <c r="G20">
        <v>8</v>
      </c>
      <c r="H20" s="11">
        <v>2</v>
      </c>
      <c r="I20" s="6">
        <f t="shared" si="2"/>
        <v>23</v>
      </c>
      <c r="J20" s="5">
        <f t="shared" si="3"/>
        <v>0.67647058823529416</v>
      </c>
      <c r="K20">
        <f t="shared" si="1"/>
        <v>3</v>
      </c>
    </row>
    <row r="21" spans="1:11" x14ac:dyDescent="0.25">
      <c r="K21">
        <f>AVERAGE(K15:K20,K11:K13,K9,K3:K7)</f>
        <v>2.3571428571428572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1EBAE-1069-4252-A712-B1B9F22FF780}">
  <sheetPr codeName="Munka10"/>
  <dimension ref="A1:M8"/>
  <sheetViews>
    <sheetView zoomScale="145" zoomScaleNormal="145" workbookViewId="0">
      <selection activeCell="E9" sqref="E9"/>
    </sheetView>
  </sheetViews>
  <sheetFormatPr defaultRowHeight="15" x14ac:dyDescent="0.25"/>
  <cols>
    <col min="2" max="2" width="20.140625" bestFit="1" customWidth="1"/>
    <col min="3" max="7" width="5.140625" customWidth="1"/>
  </cols>
  <sheetData>
    <row r="1" spans="1:13" x14ac:dyDescent="0.25">
      <c r="A1" t="s">
        <v>37</v>
      </c>
      <c r="B1" t="s">
        <v>38</v>
      </c>
      <c r="C1">
        <v>1</v>
      </c>
      <c r="D1">
        <v>2</v>
      </c>
      <c r="E1">
        <v>3</v>
      </c>
      <c r="F1">
        <v>4</v>
      </c>
      <c r="G1">
        <v>5</v>
      </c>
      <c r="H1" t="s">
        <v>22</v>
      </c>
      <c r="I1" t="s">
        <v>23</v>
      </c>
      <c r="J1" t="s">
        <v>24</v>
      </c>
    </row>
    <row r="2" spans="1:13" x14ac:dyDescent="0.25">
      <c r="A2">
        <v>0</v>
      </c>
      <c r="B2" s="7" t="s">
        <v>35</v>
      </c>
      <c r="C2" s="7">
        <v>8</v>
      </c>
      <c r="D2" s="7">
        <v>7</v>
      </c>
      <c r="E2" s="7">
        <v>5</v>
      </c>
      <c r="F2" s="7">
        <v>8</v>
      </c>
      <c r="G2" s="7">
        <v>10</v>
      </c>
      <c r="H2" s="7">
        <f t="shared" ref="H2:H8" si="0">SUM(C2:G2)</f>
        <v>38</v>
      </c>
      <c r="I2" s="7"/>
      <c r="J2" s="7"/>
    </row>
    <row r="3" spans="1:13" x14ac:dyDescent="0.25">
      <c r="A3">
        <v>2</v>
      </c>
      <c r="B3" t="s">
        <v>1</v>
      </c>
      <c r="C3">
        <v>7</v>
      </c>
      <c r="D3">
        <v>6</v>
      </c>
      <c r="E3">
        <v>0</v>
      </c>
      <c r="F3">
        <v>6</v>
      </c>
      <c r="G3">
        <v>8</v>
      </c>
      <c r="H3" s="6">
        <f t="shared" si="0"/>
        <v>27</v>
      </c>
      <c r="I3" s="5">
        <f t="shared" ref="I3:I8" si="1">H3/$H$2</f>
        <v>0.71052631578947367</v>
      </c>
      <c r="J3">
        <f t="shared" ref="J3:J8" si="2">VLOOKUP(I3,$L$3:$M$7,2,TRUE)</f>
        <v>4</v>
      </c>
      <c r="L3" s="4">
        <v>0</v>
      </c>
      <c r="M3">
        <v>1</v>
      </c>
    </row>
    <row r="4" spans="1:13" x14ac:dyDescent="0.25">
      <c r="A4">
        <v>3</v>
      </c>
      <c r="B4" t="s">
        <v>2</v>
      </c>
      <c r="C4">
        <v>8</v>
      </c>
      <c r="D4">
        <v>3</v>
      </c>
      <c r="E4">
        <v>0</v>
      </c>
      <c r="F4">
        <v>3</v>
      </c>
      <c r="G4">
        <v>3</v>
      </c>
      <c r="H4" s="6">
        <f t="shared" si="0"/>
        <v>17</v>
      </c>
      <c r="I4" s="5">
        <f t="shared" si="1"/>
        <v>0.44736842105263158</v>
      </c>
      <c r="J4">
        <f t="shared" si="2"/>
        <v>2</v>
      </c>
      <c r="L4" s="4">
        <v>0.4</v>
      </c>
      <c r="M4">
        <v>2</v>
      </c>
    </row>
    <row r="5" spans="1:13" x14ac:dyDescent="0.25">
      <c r="A5">
        <v>6</v>
      </c>
      <c r="B5" t="s">
        <v>5</v>
      </c>
      <c r="C5">
        <v>7</v>
      </c>
      <c r="D5">
        <v>7</v>
      </c>
      <c r="E5">
        <v>2</v>
      </c>
      <c r="F5">
        <v>7</v>
      </c>
      <c r="G5">
        <v>0</v>
      </c>
      <c r="H5" s="6">
        <f t="shared" si="0"/>
        <v>23</v>
      </c>
      <c r="I5" s="5">
        <f t="shared" si="1"/>
        <v>0.60526315789473684</v>
      </c>
      <c r="J5">
        <f t="shared" si="2"/>
        <v>3</v>
      </c>
      <c r="L5" s="4">
        <v>0.55000000000000004</v>
      </c>
      <c r="M5">
        <v>3</v>
      </c>
    </row>
    <row r="6" spans="1:13" x14ac:dyDescent="0.25">
      <c r="A6">
        <v>8</v>
      </c>
      <c r="B6" t="s">
        <v>7</v>
      </c>
      <c r="C6">
        <v>7</v>
      </c>
      <c r="D6">
        <v>2</v>
      </c>
      <c r="E6">
        <v>5</v>
      </c>
      <c r="F6">
        <v>6</v>
      </c>
      <c r="G6">
        <v>0</v>
      </c>
      <c r="H6" s="6">
        <f t="shared" si="0"/>
        <v>20</v>
      </c>
      <c r="I6" s="5">
        <f t="shared" si="1"/>
        <v>0.52631578947368418</v>
      </c>
      <c r="J6">
        <f t="shared" si="2"/>
        <v>2</v>
      </c>
      <c r="L6" s="4">
        <v>0.7</v>
      </c>
      <c r="M6">
        <v>4</v>
      </c>
    </row>
    <row r="7" spans="1:13" x14ac:dyDescent="0.25">
      <c r="A7">
        <v>10</v>
      </c>
      <c r="B7" s="9" t="s">
        <v>9</v>
      </c>
      <c r="C7">
        <v>8</v>
      </c>
      <c r="D7">
        <v>6</v>
      </c>
      <c r="E7">
        <v>4</v>
      </c>
      <c r="F7">
        <v>8</v>
      </c>
      <c r="G7">
        <v>9</v>
      </c>
      <c r="H7" s="6">
        <f t="shared" si="0"/>
        <v>35</v>
      </c>
      <c r="I7" s="5">
        <f t="shared" si="1"/>
        <v>0.92105263157894735</v>
      </c>
      <c r="J7">
        <f t="shared" si="2"/>
        <v>5</v>
      </c>
      <c r="L7" s="4">
        <v>0.85</v>
      </c>
      <c r="M7">
        <v>5</v>
      </c>
    </row>
    <row r="8" spans="1:13" x14ac:dyDescent="0.25">
      <c r="A8">
        <v>17</v>
      </c>
      <c r="B8" t="s">
        <v>16</v>
      </c>
      <c r="C8">
        <v>8</v>
      </c>
      <c r="D8">
        <v>5</v>
      </c>
      <c r="E8">
        <v>2</v>
      </c>
      <c r="F8">
        <v>3</v>
      </c>
      <c r="G8">
        <v>0</v>
      </c>
      <c r="H8" s="6">
        <f t="shared" si="0"/>
        <v>18</v>
      </c>
      <c r="I8" s="5">
        <f t="shared" si="1"/>
        <v>0.47368421052631576</v>
      </c>
      <c r="J8">
        <f t="shared" si="2"/>
        <v>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8A4C-E6D4-4F41-83A5-1162C21BE59D}">
  <sheetPr codeName="Munka11"/>
  <dimension ref="A1:N21"/>
  <sheetViews>
    <sheetView zoomScaleNormal="100" workbookViewId="0">
      <selection activeCell="N17" sqref="N17"/>
    </sheetView>
  </sheetViews>
  <sheetFormatPr defaultRowHeight="15" x14ac:dyDescent="0.25"/>
  <cols>
    <col min="2" max="2" width="20.140625" bestFit="1" customWidth="1"/>
    <col min="3" max="8" width="5.140625" customWidth="1"/>
  </cols>
  <sheetData>
    <row r="1" spans="1:14" x14ac:dyDescent="0.25">
      <c r="A1" t="s">
        <v>37</v>
      </c>
      <c r="B1" t="s">
        <v>38</v>
      </c>
      <c r="C1">
        <v>1</v>
      </c>
      <c r="D1">
        <v>2</v>
      </c>
      <c r="E1">
        <v>3</v>
      </c>
      <c r="F1">
        <v>4</v>
      </c>
      <c r="G1">
        <v>5</v>
      </c>
      <c r="H1" s="10">
        <v>6</v>
      </c>
      <c r="I1" t="s">
        <v>22</v>
      </c>
      <c r="J1" t="s">
        <v>23</v>
      </c>
      <c r="K1" t="s">
        <v>24</v>
      </c>
    </row>
    <row r="2" spans="1:14" x14ac:dyDescent="0.25">
      <c r="A2">
        <v>0</v>
      </c>
      <c r="B2" s="7" t="s">
        <v>35</v>
      </c>
      <c r="C2" s="7">
        <v>6</v>
      </c>
      <c r="D2" s="7">
        <v>6</v>
      </c>
      <c r="E2" s="7">
        <v>6</v>
      </c>
      <c r="F2" s="7">
        <v>3</v>
      </c>
      <c r="G2" s="7">
        <v>9</v>
      </c>
      <c r="H2" s="11">
        <v>10</v>
      </c>
      <c r="I2" s="7">
        <f>SUM(C2:G2)</f>
        <v>30</v>
      </c>
      <c r="J2" s="7"/>
      <c r="K2" s="7"/>
    </row>
    <row r="3" spans="1:14" x14ac:dyDescent="0.25">
      <c r="A3">
        <v>1</v>
      </c>
      <c r="B3" t="s">
        <v>0</v>
      </c>
      <c r="C3">
        <v>6</v>
      </c>
      <c r="D3">
        <v>6</v>
      </c>
      <c r="E3" s="6">
        <v>6</v>
      </c>
      <c r="F3">
        <v>0</v>
      </c>
      <c r="G3">
        <v>8</v>
      </c>
      <c r="H3" s="12"/>
      <c r="I3" s="6">
        <f>SUM(C3:G3)</f>
        <v>26</v>
      </c>
      <c r="J3" s="5">
        <f>I3/$I$2</f>
        <v>0.8666666666666667</v>
      </c>
      <c r="K3">
        <f t="shared" ref="K3:K20" si="0">VLOOKUP(J3,$M$3:$N$7,2,TRUE)</f>
        <v>5</v>
      </c>
      <c r="M3" s="4">
        <v>0</v>
      </c>
      <c r="N3">
        <v>1</v>
      </c>
    </row>
    <row r="4" spans="1:14" x14ac:dyDescent="0.25">
      <c r="A4">
        <v>2</v>
      </c>
      <c r="B4" t="s">
        <v>1</v>
      </c>
      <c r="C4">
        <v>6</v>
      </c>
      <c r="D4">
        <v>1</v>
      </c>
      <c r="E4">
        <v>0</v>
      </c>
      <c r="F4">
        <v>0</v>
      </c>
      <c r="G4">
        <v>8</v>
      </c>
      <c r="H4" s="12"/>
      <c r="I4" s="6">
        <f t="shared" ref="I4:I20" si="1">SUM(C4:G4)</f>
        <v>15</v>
      </c>
      <c r="J4" s="5">
        <f>I4/$I$2</f>
        <v>0.5</v>
      </c>
      <c r="K4">
        <f t="shared" si="0"/>
        <v>2</v>
      </c>
      <c r="M4" s="4">
        <v>0.4</v>
      </c>
      <c r="N4">
        <v>2</v>
      </c>
    </row>
    <row r="5" spans="1:14" x14ac:dyDescent="0.25">
      <c r="A5">
        <v>3</v>
      </c>
      <c r="B5" t="s">
        <v>2</v>
      </c>
      <c r="C5">
        <v>5</v>
      </c>
      <c r="D5">
        <v>3</v>
      </c>
      <c r="E5">
        <v>0</v>
      </c>
      <c r="F5">
        <v>3</v>
      </c>
      <c r="G5">
        <v>1</v>
      </c>
      <c r="H5" s="12"/>
      <c r="I5" s="6">
        <f t="shared" si="1"/>
        <v>12</v>
      </c>
      <c r="J5" s="5">
        <f>I5/$I$2</f>
        <v>0.4</v>
      </c>
      <c r="K5">
        <f t="shared" si="0"/>
        <v>2</v>
      </c>
      <c r="M5" s="4">
        <v>0.55000000000000004</v>
      </c>
      <c r="N5">
        <v>3</v>
      </c>
    </row>
    <row r="6" spans="1:14" x14ac:dyDescent="0.25">
      <c r="A6">
        <v>4</v>
      </c>
      <c r="B6" s="9" t="s">
        <v>3</v>
      </c>
      <c r="C6">
        <v>6</v>
      </c>
      <c r="D6">
        <v>6</v>
      </c>
      <c r="E6">
        <v>4</v>
      </c>
      <c r="F6" s="6">
        <v>1</v>
      </c>
      <c r="G6" s="6">
        <v>5</v>
      </c>
      <c r="H6" s="13"/>
      <c r="I6" s="6">
        <f t="shared" si="1"/>
        <v>22</v>
      </c>
      <c r="J6" s="5">
        <f t="shared" ref="J6:J20" si="2">I6/$I$2</f>
        <v>0.73333333333333328</v>
      </c>
      <c r="K6">
        <f t="shared" si="0"/>
        <v>4</v>
      </c>
      <c r="M6" s="4">
        <v>0.7</v>
      </c>
      <c r="N6">
        <v>4</v>
      </c>
    </row>
    <row r="7" spans="1:14" x14ac:dyDescent="0.25">
      <c r="A7">
        <v>5</v>
      </c>
      <c r="B7" t="s">
        <v>4</v>
      </c>
      <c r="C7">
        <v>1</v>
      </c>
      <c r="D7">
        <v>0</v>
      </c>
      <c r="E7">
        <v>0</v>
      </c>
      <c r="F7">
        <v>0</v>
      </c>
      <c r="G7">
        <v>2</v>
      </c>
      <c r="H7" s="12"/>
      <c r="I7" s="6">
        <f t="shared" si="1"/>
        <v>3</v>
      </c>
      <c r="J7" s="5">
        <f t="shared" si="2"/>
        <v>0.1</v>
      </c>
      <c r="K7">
        <f t="shared" si="0"/>
        <v>1</v>
      </c>
      <c r="M7" s="4">
        <v>0.85</v>
      </c>
      <c r="N7">
        <v>5</v>
      </c>
    </row>
    <row r="8" spans="1:14" x14ac:dyDescent="0.25">
      <c r="A8">
        <v>6</v>
      </c>
      <c r="B8" t="s">
        <v>5</v>
      </c>
      <c r="C8">
        <v>6</v>
      </c>
      <c r="D8">
        <v>1</v>
      </c>
      <c r="E8">
        <v>6</v>
      </c>
      <c r="F8">
        <v>1</v>
      </c>
      <c r="G8">
        <v>0</v>
      </c>
      <c r="H8" s="12"/>
      <c r="I8" s="6">
        <f t="shared" si="1"/>
        <v>14</v>
      </c>
      <c r="J8" s="5">
        <f t="shared" si="2"/>
        <v>0.46666666666666667</v>
      </c>
      <c r="K8">
        <f t="shared" si="0"/>
        <v>2</v>
      </c>
    </row>
    <row r="9" spans="1:14" x14ac:dyDescent="0.25">
      <c r="A9">
        <v>7</v>
      </c>
      <c r="B9" t="s">
        <v>6</v>
      </c>
      <c r="C9" t="s">
        <v>25</v>
      </c>
      <c r="D9" t="s">
        <v>25</v>
      </c>
      <c r="E9" t="s">
        <v>25</v>
      </c>
      <c r="F9" s="6" t="s">
        <v>25</v>
      </c>
      <c r="G9" s="6" t="s">
        <v>25</v>
      </c>
      <c r="H9" s="13" t="s">
        <v>25</v>
      </c>
      <c r="I9" s="6">
        <f t="shared" si="1"/>
        <v>0</v>
      </c>
      <c r="J9" s="5">
        <f t="shared" si="2"/>
        <v>0</v>
      </c>
    </row>
    <row r="10" spans="1:14" x14ac:dyDescent="0.25">
      <c r="A10">
        <v>8</v>
      </c>
      <c r="B10" t="s">
        <v>7</v>
      </c>
      <c r="C10">
        <v>6</v>
      </c>
      <c r="D10">
        <v>3</v>
      </c>
      <c r="E10">
        <v>6</v>
      </c>
      <c r="F10">
        <v>2</v>
      </c>
      <c r="G10">
        <v>4</v>
      </c>
      <c r="H10" s="12"/>
      <c r="I10" s="6">
        <f t="shared" si="1"/>
        <v>21</v>
      </c>
      <c r="J10" s="5">
        <f t="shared" si="2"/>
        <v>0.7</v>
      </c>
      <c r="K10">
        <f t="shared" si="0"/>
        <v>4</v>
      </c>
    </row>
    <row r="11" spans="1:14" x14ac:dyDescent="0.25">
      <c r="A11">
        <v>9</v>
      </c>
      <c r="B11" t="s">
        <v>8</v>
      </c>
      <c r="C11">
        <v>6</v>
      </c>
      <c r="D11">
        <v>1</v>
      </c>
      <c r="E11">
        <v>6</v>
      </c>
      <c r="F11">
        <v>1</v>
      </c>
      <c r="G11">
        <v>1</v>
      </c>
      <c r="H11" s="12"/>
      <c r="I11" s="6">
        <f t="shared" si="1"/>
        <v>15</v>
      </c>
      <c r="J11" s="5">
        <f t="shared" si="2"/>
        <v>0.5</v>
      </c>
      <c r="K11">
        <f t="shared" si="0"/>
        <v>2</v>
      </c>
    </row>
    <row r="12" spans="1:14" x14ac:dyDescent="0.25">
      <c r="A12">
        <v>10</v>
      </c>
      <c r="B12" s="9" t="s">
        <v>9</v>
      </c>
      <c r="C12">
        <v>6</v>
      </c>
      <c r="D12">
        <v>6</v>
      </c>
      <c r="E12">
        <v>3</v>
      </c>
      <c r="F12">
        <v>3</v>
      </c>
      <c r="G12">
        <v>8</v>
      </c>
      <c r="H12" s="12"/>
      <c r="I12" s="6">
        <f t="shared" si="1"/>
        <v>26</v>
      </c>
      <c r="J12" s="5">
        <f t="shared" si="2"/>
        <v>0.8666666666666667</v>
      </c>
      <c r="K12">
        <f t="shared" si="0"/>
        <v>5</v>
      </c>
    </row>
    <row r="13" spans="1:14" x14ac:dyDescent="0.25">
      <c r="A13">
        <v>11</v>
      </c>
      <c r="B13" t="s">
        <v>10</v>
      </c>
      <c r="C13">
        <v>6</v>
      </c>
      <c r="D13">
        <v>3</v>
      </c>
      <c r="E13">
        <v>0</v>
      </c>
      <c r="F13">
        <v>0</v>
      </c>
      <c r="G13">
        <v>0</v>
      </c>
      <c r="H13" s="12"/>
      <c r="I13" s="6">
        <f t="shared" si="1"/>
        <v>9</v>
      </c>
      <c r="J13" s="5">
        <f t="shared" si="2"/>
        <v>0.3</v>
      </c>
      <c r="K13">
        <f t="shared" si="0"/>
        <v>1</v>
      </c>
    </row>
    <row r="14" spans="1:14" x14ac:dyDescent="0.25">
      <c r="A14">
        <v>12</v>
      </c>
      <c r="B14" t="s">
        <v>11</v>
      </c>
      <c r="C14">
        <v>1</v>
      </c>
      <c r="D14">
        <v>0</v>
      </c>
      <c r="E14">
        <v>0</v>
      </c>
      <c r="F14">
        <v>0</v>
      </c>
      <c r="G14">
        <v>0</v>
      </c>
      <c r="H14" s="12"/>
      <c r="I14" s="6">
        <f t="shared" si="1"/>
        <v>1</v>
      </c>
      <c r="J14" s="5">
        <f t="shared" si="2"/>
        <v>3.3333333333333333E-2</v>
      </c>
      <c r="K14">
        <f t="shared" si="0"/>
        <v>1</v>
      </c>
    </row>
    <row r="15" spans="1:14" x14ac:dyDescent="0.25">
      <c r="A15">
        <v>13</v>
      </c>
      <c r="B15" t="s">
        <v>12</v>
      </c>
      <c r="C15">
        <v>1</v>
      </c>
      <c r="D15">
        <v>0</v>
      </c>
      <c r="E15" s="6">
        <v>3</v>
      </c>
      <c r="F15">
        <v>1</v>
      </c>
      <c r="G15">
        <v>1</v>
      </c>
      <c r="H15" s="12"/>
      <c r="I15" s="6">
        <f t="shared" si="1"/>
        <v>6</v>
      </c>
      <c r="J15" s="5">
        <f t="shared" si="2"/>
        <v>0.2</v>
      </c>
      <c r="K15">
        <f t="shared" si="0"/>
        <v>1</v>
      </c>
    </row>
    <row r="16" spans="1:14" x14ac:dyDescent="0.25">
      <c r="A16">
        <v>14</v>
      </c>
      <c r="B16" t="s">
        <v>13</v>
      </c>
      <c r="C16" s="6">
        <v>6</v>
      </c>
      <c r="D16" s="6">
        <v>6</v>
      </c>
      <c r="E16" s="6">
        <v>6</v>
      </c>
      <c r="F16" s="6">
        <v>3</v>
      </c>
      <c r="G16" s="6">
        <v>9</v>
      </c>
      <c r="H16" s="13">
        <v>3</v>
      </c>
      <c r="I16" s="6">
        <f>SUM(C16:H16)</f>
        <v>33</v>
      </c>
      <c r="J16" s="5">
        <f t="shared" si="2"/>
        <v>1.1000000000000001</v>
      </c>
      <c r="K16">
        <f t="shared" si="0"/>
        <v>5</v>
      </c>
    </row>
    <row r="17" spans="1:11" x14ac:dyDescent="0.25">
      <c r="A17">
        <v>15</v>
      </c>
      <c r="B17" t="s">
        <v>14</v>
      </c>
      <c r="C17">
        <v>3</v>
      </c>
      <c r="D17">
        <v>1</v>
      </c>
      <c r="E17">
        <v>3</v>
      </c>
      <c r="F17">
        <v>0</v>
      </c>
      <c r="G17">
        <v>0</v>
      </c>
      <c r="H17" s="12"/>
      <c r="I17" s="6">
        <f t="shared" si="1"/>
        <v>7</v>
      </c>
      <c r="J17" s="5">
        <f t="shared" si="2"/>
        <v>0.23333333333333334</v>
      </c>
      <c r="K17">
        <f t="shared" si="0"/>
        <v>1</v>
      </c>
    </row>
    <row r="18" spans="1:11" x14ac:dyDescent="0.25">
      <c r="A18">
        <v>16</v>
      </c>
      <c r="B18" s="9" t="s">
        <v>15</v>
      </c>
      <c r="C18">
        <v>6</v>
      </c>
      <c r="D18">
        <v>6</v>
      </c>
      <c r="E18">
        <v>0</v>
      </c>
      <c r="F18">
        <v>0</v>
      </c>
      <c r="G18">
        <v>1</v>
      </c>
      <c r="H18" s="12"/>
      <c r="I18" s="6">
        <f t="shared" si="1"/>
        <v>13</v>
      </c>
      <c r="J18" s="5">
        <f t="shared" si="2"/>
        <v>0.43333333333333335</v>
      </c>
      <c r="K18">
        <f t="shared" si="0"/>
        <v>2</v>
      </c>
    </row>
    <row r="19" spans="1:11" x14ac:dyDescent="0.25">
      <c r="A19">
        <v>17</v>
      </c>
      <c r="B19" t="s">
        <v>16</v>
      </c>
      <c r="C19">
        <v>6</v>
      </c>
      <c r="D19">
        <v>6</v>
      </c>
      <c r="E19">
        <v>6</v>
      </c>
      <c r="F19">
        <v>3</v>
      </c>
      <c r="G19">
        <v>1</v>
      </c>
      <c r="H19" s="12"/>
      <c r="I19" s="6">
        <f t="shared" si="1"/>
        <v>22</v>
      </c>
      <c r="J19" s="5">
        <f t="shared" si="2"/>
        <v>0.73333333333333328</v>
      </c>
      <c r="K19">
        <f t="shared" si="0"/>
        <v>4</v>
      </c>
    </row>
    <row r="20" spans="1:11" x14ac:dyDescent="0.25">
      <c r="A20">
        <v>18</v>
      </c>
      <c r="B20" s="9" t="s">
        <v>17</v>
      </c>
      <c r="C20">
        <v>6</v>
      </c>
      <c r="D20">
        <v>2</v>
      </c>
      <c r="E20">
        <v>0</v>
      </c>
      <c r="F20">
        <v>0</v>
      </c>
      <c r="G20">
        <v>0</v>
      </c>
      <c r="H20" s="11"/>
      <c r="I20" s="6">
        <f t="shared" si="1"/>
        <v>8</v>
      </c>
      <c r="J20" s="5">
        <f t="shared" si="2"/>
        <v>0.26666666666666666</v>
      </c>
      <c r="K20">
        <f t="shared" si="0"/>
        <v>1</v>
      </c>
    </row>
    <row r="21" spans="1:11" x14ac:dyDescent="0.25">
      <c r="K21">
        <f>AVERAGE(K15:K20,K11:K13,K9,K3:K7)</f>
        <v>2.5714285714285716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878E-E437-4F58-897B-A14D42AA52F4}">
  <sheetPr codeName="Munka12"/>
  <dimension ref="A1:M20"/>
  <sheetViews>
    <sheetView tabSelected="1" zoomScaleNormal="100" workbookViewId="0">
      <selection activeCell="G8" sqref="G8"/>
    </sheetView>
  </sheetViews>
  <sheetFormatPr defaultRowHeight="15" x14ac:dyDescent="0.25"/>
  <cols>
    <col min="2" max="2" width="20.140625" bestFit="1" customWidth="1"/>
    <col min="3" max="7" width="5.140625" customWidth="1"/>
  </cols>
  <sheetData>
    <row r="1" spans="1:13" x14ac:dyDescent="0.25">
      <c r="A1" t="s">
        <v>37</v>
      </c>
      <c r="B1" t="s">
        <v>38</v>
      </c>
      <c r="C1">
        <v>1</v>
      </c>
      <c r="D1">
        <v>2</v>
      </c>
      <c r="E1">
        <v>3</v>
      </c>
      <c r="F1">
        <v>4</v>
      </c>
      <c r="G1">
        <v>5</v>
      </c>
      <c r="H1" t="s">
        <v>22</v>
      </c>
      <c r="I1" t="s">
        <v>23</v>
      </c>
      <c r="J1" t="s">
        <v>24</v>
      </c>
    </row>
    <row r="2" spans="1:13" x14ac:dyDescent="0.25">
      <c r="A2">
        <v>0</v>
      </c>
      <c r="B2" s="7" t="s">
        <v>35</v>
      </c>
      <c r="C2" s="7">
        <v>6</v>
      </c>
      <c r="D2" s="7">
        <v>9</v>
      </c>
      <c r="E2" s="7">
        <v>9</v>
      </c>
      <c r="F2" s="7">
        <v>7</v>
      </c>
      <c r="G2" s="7"/>
      <c r="H2" s="7">
        <f>SUM(C2:G2)</f>
        <v>31</v>
      </c>
      <c r="I2" s="7"/>
      <c r="J2" s="7"/>
    </row>
    <row r="3" spans="1:13" x14ac:dyDescent="0.25">
      <c r="A3">
        <v>7</v>
      </c>
      <c r="B3" t="s">
        <v>6</v>
      </c>
      <c r="C3">
        <v>6</v>
      </c>
      <c r="D3">
        <v>2</v>
      </c>
      <c r="E3" s="6">
        <v>0</v>
      </c>
      <c r="F3">
        <v>0</v>
      </c>
      <c r="G3">
        <v>0</v>
      </c>
      <c r="H3" s="6">
        <f>SUM(C3:G3)</f>
        <v>8</v>
      </c>
      <c r="I3" s="5">
        <f>H3/$H$2</f>
        <v>0.25806451612903225</v>
      </c>
      <c r="J3">
        <f>VLOOKUP(I3,$L$3:$M$7,2,TRUE)</f>
        <v>1</v>
      </c>
      <c r="L3" s="4">
        <v>0</v>
      </c>
      <c r="M3">
        <v>1</v>
      </c>
    </row>
    <row r="4" spans="1:13" x14ac:dyDescent="0.25">
      <c r="A4">
        <v>9</v>
      </c>
      <c r="B4" t="s">
        <v>8</v>
      </c>
      <c r="C4">
        <v>6</v>
      </c>
      <c r="D4">
        <v>0</v>
      </c>
      <c r="E4">
        <v>5</v>
      </c>
      <c r="F4">
        <v>5</v>
      </c>
      <c r="G4">
        <v>0</v>
      </c>
      <c r="H4" s="6">
        <f>SUM(C4:G4)</f>
        <v>16</v>
      </c>
      <c r="I4" s="5">
        <f>H4/$H$2</f>
        <v>0.5161290322580645</v>
      </c>
      <c r="J4">
        <f>VLOOKUP(I4,$L$3:$M$7,2,TRUE)</f>
        <v>2</v>
      </c>
      <c r="L4" s="4">
        <v>0.4</v>
      </c>
      <c r="M4">
        <v>2</v>
      </c>
    </row>
    <row r="5" spans="1:13" x14ac:dyDescent="0.25">
      <c r="A5">
        <v>13</v>
      </c>
      <c r="B5" t="s">
        <v>12</v>
      </c>
      <c r="C5">
        <v>6</v>
      </c>
      <c r="D5">
        <v>6</v>
      </c>
      <c r="E5">
        <v>5</v>
      </c>
      <c r="F5">
        <v>5</v>
      </c>
      <c r="G5">
        <v>0</v>
      </c>
      <c r="H5" s="6">
        <f>SUM(C5:G5)</f>
        <v>22</v>
      </c>
      <c r="I5" s="5">
        <f>H5/$H$2</f>
        <v>0.70967741935483875</v>
      </c>
      <c r="J5">
        <f>VLOOKUP(I5,$L$3:$M$7,2,TRUE)</f>
        <v>4</v>
      </c>
      <c r="L5" s="4">
        <v>0.55000000000000004</v>
      </c>
      <c r="M5">
        <v>3</v>
      </c>
    </row>
    <row r="6" spans="1:13" x14ac:dyDescent="0.25">
      <c r="A6">
        <v>14</v>
      </c>
      <c r="B6" t="s">
        <v>13</v>
      </c>
      <c r="C6">
        <v>6</v>
      </c>
      <c r="D6">
        <v>9</v>
      </c>
      <c r="E6">
        <v>7</v>
      </c>
      <c r="F6" s="6">
        <v>6</v>
      </c>
      <c r="G6" s="6">
        <v>6</v>
      </c>
      <c r="H6" s="6">
        <f>SUM(C6:G6)</f>
        <v>34</v>
      </c>
      <c r="I6" s="5">
        <f>H6/$H$2</f>
        <v>1.096774193548387</v>
      </c>
      <c r="J6">
        <f>VLOOKUP(I6,$L$3:$M$7,2,TRUE)</f>
        <v>5</v>
      </c>
      <c r="L6" s="4">
        <v>0.7</v>
      </c>
      <c r="M6">
        <v>4</v>
      </c>
    </row>
    <row r="7" spans="1:13" x14ac:dyDescent="0.25">
      <c r="A7">
        <v>15</v>
      </c>
      <c r="B7" t="s">
        <v>14</v>
      </c>
      <c r="C7">
        <v>6</v>
      </c>
      <c r="D7">
        <v>8</v>
      </c>
      <c r="E7">
        <v>5</v>
      </c>
      <c r="F7">
        <v>0</v>
      </c>
      <c r="G7">
        <v>1</v>
      </c>
      <c r="H7" s="6">
        <f>SUM(C7:G7)</f>
        <v>20</v>
      </c>
      <c r="I7" s="5">
        <f>H7/$H$2</f>
        <v>0.64516129032258063</v>
      </c>
      <c r="J7">
        <f>VLOOKUP(I7,$L$3:$M$7,2,TRUE)</f>
        <v>3</v>
      </c>
      <c r="L7" s="4">
        <v>0.85</v>
      </c>
      <c r="M7">
        <v>5</v>
      </c>
    </row>
    <row r="8" spans="1:13" x14ac:dyDescent="0.25">
      <c r="H8" s="6"/>
      <c r="I8" s="5"/>
    </row>
    <row r="9" spans="1:13" x14ac:dyDescent="0.25">
      <c r="F9" s="6"/>
      <c r="G9" s="6"/>
      <c r="H9" s="6"/>
      <c r="I9" s="5"/>
    </row>
    <row r="10" spans="1:13" x14ac:dyDescent="0.25">
      <c r="H10" s="6"/>
      <c r="I10" s="5"/>
    </row>
    <row r="11" spans="1:13" x14ac:dyDescent="0.25">
      <c r="H11" s="6"/>
      <c r="I11" s="5"/>
    </row>
    <row r="12" spans="1:13" x14ac:dyDescent="0.25">
      <c r="B12" s="9"/>
      <c r="H12" s="6"/>
      <c r="I12" s="5"/>
    </row>
    <row r="13" spans="1:13" x14ac:dyDescent="0.25">
      <c r="H13" s="6"/>
      <c r="I13" s="5"/>
    </row>
    <row r="14" spans="1:13" x14ac:dyDescent="0.25">
      <c r="H14" s="6"/>
      <c r="I14" s="5"/>
    </row>
    <row r="15" spans="1:13" x14ac:dyDescent="0.25">
      <c r="E15" s="6"/>
      <c r="H15" s="6"/>
      <c r="I15" s="5"/>
    </row>
    <row r="16" spans="1:13" x14ac:dyDescent="0.25">
      <c r="C16" s="6"/>
      <c r="D16" s="6"/>
      <c r="E16" s="6"/>
      <c r="F16" s="6"/>
      <c r="G16" s="6"/>
      <c r="H16" s="6"/>
      <c r="I16" s="5"/>
    </row>
    <row r="17" spans="2:9" x14ac:dyDescent="0.25">
      <c r="H17" s="6"/>
      <c r="I17" s="5"/>
    </row>
    <row r="18" spans="2:9" x14ac:dyDescent="0.25">
      <c r="B18" s="9"/>
      <c r="H18" s="6"/>
      <c r="I18" s="5"/>
    </row>
    <row r="19" spans="2:9" x14ac:dyDescent="0.25">
      <c r="H19" s="6"/>
      <c r="I19" s="5"/>
    </row>
    <row r="20" spans="2:9" x14ac:dyDescent="0.25">
      <c r="B20" s="9"/>
      <c r="H20" s="6"/>
      <c r="I20" s="5"/>
    </row>
  </sheetData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8B82-77C9-4BA6-A304-328C1921C71F}">
  <sheetPr codeName="Munka4"/>
  <dimension ref="C4:H8"/>
  <sheetViews>
    <sheetView zoomScale="145" zoomScaleNormal="145" workbookViewId="0">
      <selection activeCell="I6" sqref="I6"/>
    </sheetView>
  </sheetViews>
  <sheetFormatPr defaultRowHeight="15" x14ac:dyDescent="0.25"/>
  <cols>
    <col min="1" max="1" width="20.140625" bestFit="1" customWidth="1"/>
    <col min="3" max="3" width="14.7109375" bestFit="1" customWidth="1"/>
    <col min="4" max="4" width="14.42578125" bestFit="1" customWidth="1"/>
    <col min="6" max="6" width="20.140625" bestFit="1" customWidth="1"/>
    <col min="7" max="7" width="13.28515625" bestFit="1" customWidth="1"/>
  </cols>
  <sheetData>
    <row r="4" spans="3:8" s="1" customFormat="1" ht="30.75" customHeight="1" x14ac:dyDescent="0.25">
      <c r="C4" s="1" t="s">
        <v>7</v>
      </c>
      <c r="D4" s="1" t="s">
        <v>10</v>
      </c>
      <c r="H4" s="2"/>
    </row>
    <row r="5" spans="3:8" s="1" customFormat="1" ht="30.75" customHeight="1" x14ac:dyDescent="0.25">
      <c r="C5" s="1" t="s">
        <v>11</v>
      </c>
      <c r="D5" s="1" t="s">
        <v>6</v>
      </c>
      <c r="F5" s="1" t="s">
        <v>13</v>
      </c>
      <c r="G5" s="1" t="s">
        <v>3</v>
      </c>
    </row>
    <row r="6" spans="3:8" s="1" customFormat="1" ht="30.75" customHeight="1" x14ac:dyDescent="0.25">
      <c r="C6" s="1" t="s">
        <v>0</v>
      </c>
      <c r="D6" s="1" t="s">
        <v>16</v>
      </c>
      <c r="F6" s="1" t="s">
        <v>8</v>
      </c>
      <c r="G6" s="1" t="s">
        <v>2</v>
      </c>
    </row>
    <row r="7" spans="3:8" s="1" customFormat="1" ht="30.75" customHeight="1" x14ac:dyDescent="0.25">
      <c r="C7" s="1" t="s">
        <v>5</v>
      </c>
      <c r="D7" s="1" t="s">
        <v>9</v>
      </c>
      <c r="F7" s="1" t="s">
        <v>15</v>
      </c>
      <c r="G7" s="1" t="s">
        <v>17</v>
      </c>
    </row>
    <row r="8" spans="3:8" s="1" customFormat="1" ht="30.75" customHeight="1" x14ac:dyDescent="0.25">
      <c r="C8" t="s">
        <v>14</v>
      </c>
      <c r="D8" s="1" t="s">
        <v>12</v>
      </c>
      <c r="F8" s="1" t="s">
        <v>1</v>
      </c>
      <c r="G8" s="1" t="s">
        <v>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908F-5713-4639-9F1B-375E888996B3}">
  <sheetPr codeName="Munka5"/>
  <dimension ref="D7:K18"/>
  <sheetViews>
    <sheetView zoomScaleNormal="100" workbookViewId="0">
      <selection activeCell="J10" sqref="J10"/>
    </sheetView>
  </sheetViews>
  <sheetFormatPr defaultRowHeight="15" x14ac:dyDescent="0.25"/>
  <cols>
    <col min="4" max="4" width="14.7109375" bestFit="1" customWidth="1"/>
    <col min="5" max="5" width="14.42578125" bestFit="1" customWidth="1"/>
    <col min="7" max="7" width="20.140625" bestFit="1" customWidth="1"/>
    <col min="8" max="8" width="13.28515625" bestFit="1" customWidth="1"/>
    <col min="10" max="10" width="20.140625" bestFit="1" customWidth="1"/>
  </cols>
  <sheetData>
    <row r="7" spans="4:11" x14ac:dyDescent="0.25">
      <c r="J7" s="1" t="s">
        <v>10</v>
      </c>
      <c r="K7" s="1" t="s">
        <v>7</v>
      </c>
    </row>
    <row r="8" spans="4:11" x14ac:dyDescent="0.25">
      <c r="G8" s="1" t="s">
        <v>12</v>
      </c>
      <c r="H8" s="1" t="s">
        <v>11</v>
      </c>
      <c r="J8" s="1" t="s">
        <v>9</v>
      </c>
      <c r="K8" s="1" t="s">
        <v>17</v>
      </c>
    </row>
    <row r="9" spans="4:11" x14ac:dyDescent="0.25">
      <c r="D9" s="1" t="s">
        <v>2</v>
      </c>
      <c r="E9" t="s">
        <v>14</v>
      </c>
      <c r="G9" s="1" t="s">
        <v>3</v>
      </c>
      <c r="H9" s="1" t="s">
        <v>13</v>
      </c>
      <c r="J9" s="1" t="s">
        <v>8</v>
      </c>
      <c r="K9" s="1" t="s">
        <v>5</v>
      </c>
    </row>
    <row r="10" spans="4:11" x14ac:dyDescent="0.25">
      <c r="D10" s="1" t="s">
        <v>16</v>
      </c>
      <c r="E10" s="1" t="s">
        <v>0</v>
      </c>
      <c r="G10" s="1" t="s">
        <v>15</v>
      </c>
      <c r="J10" s="1" t="s">
        <v>1</v>
      </c>
      <c r="K10" s="1" t="s">
        <v>4</v>
      </c>
    </row>
    <row r="13" spans="4:11" x14ac:dyDescent="0.25">
      <c r="G13" s="1" t="s">
        <v>6</v>
      </c>
    </row>
    <row r="14" spans="4:11" x14ac:dyDescent="0.25">
      <c r="F14" s="1"/>
      <c r="G14" s="1"/>
      <c r="H14" s="1"/>
    </row>
    <row r="15" spans="4:11" x14ac:dyDescent="0.25">
      <c r="F15" s="1"/>
    </row>
    <row r="16" spans="4:11" x14ac:dyDescent="0.25">
      <c r="F16" s="1"/>
    </row>
    <row r="17" spans="6:6" x14ac:dyDescent="0.25">
      <c r="F17" s="1"/>
    </row>
    <row r="18" spans="6:6" x14ac:dyDescent="0.25">
      <c r="F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12</vt:i4>
      </vt:variant>
    </vt:vector>
  </HeadingPairs>
  <TitlesOfParts>
    <vt:vector size="12" baseType="lpstr">
      <vt:lpstr>Névsor</vt:lpstr>
      <vt:lpstr>Doga 1 elágazások</vt:lpstr>
      <vt:lpstr>Doga 2 ciklusok</vt:lpstr>
      <vt:lpstr>Doga 2 pot</vt:lpstr>
      <vt:lpstr>Doga 3</vt:lpstr>
      <vt:lpstr>doga4</vt:lpstr>
      <vt:lpstr>doga5</vt:lpstr>
      <vt:lpstr>doga5pót</vt:lpstr>
      <vt:lpstr>doga6</vt:lpstr>
      <vt:lpstr>doga6.1</vt:lpstr>
      <vt:lpstr>304</vt:lpstr>
      <vt:lpstr>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Szabó Dániel</dc:creator>
  <cp:lastModifiedBy>Szabó Dániel</cp:lastModifiedBy>
  <dcterms:created xsi:type="dcterms:W3CDTF">2015-06-05T18:19:34Z</dcterms:created>
  <dcterms:modified xsi:type="dcterms:W3CDTF">2026-03-13T08:06:46Z</dcterms:modified>
</cp:coreProperties>
</file>